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erenSoul\Downloads\Telegram Desktop\"/>
    </mc:Choice>
  </mc:AlternateContent>
  <xr:revisionPtr revIDLastSave="0" documentId="13_ncr:1_{4AE474CA-FB94-46DB-BC41-CCA891DF567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Справочник" sheetId="4" r:id="rId1"/>
  </sheets>
  <definedNames>
    <definedName name="A">#REF!</definedName>
    <definedName name="B">#REF!</definedName>
    <definedName name="D">#REF!</definedName>
    <definedName name="А1710">#REF!</definedName>
    <definedName name="Ф249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9" i="4" l="1"/>
  <c r="A189" i="4"/>
  <c r="E188" i="4"/>
  <c r="A188" i="4"/>
  <c r="E187" i="4"/>
  <c r="A187" i="4"/>
  <c r="E186" i="4"/>
  <c r="A186" i="4"/>
  <c r="E185" i="4"/>
  <c r="A185" i="4"/>
  <c r="E184" i="4"/>
  <c r="A184" i="4"/>
  <c r="E182" i="4"/>
  <c r="C182" i="4"/>
  <c r="B182" i="4"/>
  <c r="A182" i="4"/>
  <c r="E181" i="4"/>
  <c r="C181" i="4"/>
  <c r="B181" i="4"/>
  <c r="A181" i="4"/>
  <c r="E180" i="4"/>
  <c r="C180" i="4"/>
  <c r="B180" i="4"/>
  <c r="A180" i="4"/>
  <c r="E179" i="4"/>
  <c r="C179" i="4"/>
  <c r="B179" i="4"/>
  <c r="A179" i="4"/>
  <c r="E178" i="4"/>
  <c r="C178" i="4"/>
  <c r="B178" i="4"/>
  <c r="A178" i="4"/>
  <c r="E177" i="4"/>
  <c r="C177" i="4"/>
  <c r="B177" i="4"/>
  <c r="A177" i="4"/>
  <c r="E176" i="4"/>
  <c r="C176" i="4"/>
  <c r="B176" i="4"/>
  <c r="A176" i="4"/>
  <c r="E175" i="4"/>
  <c r="C175" i="4"/>
  <c r="B175" i="4"/>
  <c r="A175" i="4"/>
  <c r="E174" i="4"/>
  <c r="C174" i="4"/>
  <c r="B174" i="4"/>
  <c r="A174" i="4"/>
  <c r="E173" i="4"/>
  <c r="C173" i="4"/>
  <c r="B173" i="4"/>
  <c r="A173" i="4"/>
  <c r="E172" i="4"/>
  <c r="C172" i="4"/>
  <c r="B172" i="4"/>
  <c r="A172" i="4"/>
  <c r="E171" i="4"/>
  <c r="C171" i="4"/>
  <c r="B171" i="4"/>
  <c r="A171" i="4"/>
  <c r="E170" i="4"/>
  <c r="C170" i="4"/>
  <c r="B170" i="4"/>
  <c r="A170" i="4"/>
  <c r="E169" i="4"/>
  <c r="C169" i="4"/>
  <c r="B169" i="4"/>
  <c r="A169" i="4"/>
  <c r="E168" i="4"/>
  <c r="C168" i="4"/>
  <c r="B168" i="4"/>
  <c r="A168" i="4"/>
  <c r="E167" i="4"/>
  <c r="C167" i="4"/>
  <c r="B167" i="4"/>
  <c r="A167" i="4"/>
  <c r="E166" i="4"/>
  <c r="C166" i="4"/>
  <c r="B166" i="4"/>
  <c r="A166" i="4"/>
  <c r="E165" i="4"/>
  <c r="C165" i="4"/>
  <c r="B165" i="4"/>
  <c r="A165" i="4"/>
  <c r="E164" i="4"/>
  <c r="C164" i="4"/>
  <c r="B164" i="4"/>
  <c r="A164" i="4"/>
  <c r="E163" i="4"/>
  <c r="C163" i="4"/>
  <c r="B163" i="4"/>
  <c r="A163" i="4"/>
  <c r="E162" i="4"/>
  <c r="C162" i="4"/>
  <c r="B162" i="4"/>
  <c r="A162" i="4"/>
  <c r="E161" i="4"/>
  <c r="C161" i="4"/>
  <c r="B161" i="4"/>
  <c r="A161" i="4"/>
  <c r="E160" i="4"/>
  <c r="C160" i="4"/>
  <c r="B160" i="4"/>
  <c r="A160" i="4"/>
  <c r="E159" i="4"/>
  <c r="C159" i="4"/>
  <c r="B159" i="4"/>
  <c r="A159" i="4"/>
  <c r="E158" i="4"/>
  <c r="C158" i="4"/>
  <c r="B158" i="4"/>
  <c r="A158" i="4"/>
  <c r="E157" i="4"/>
  <c r="C157" i="4"/>
  <c r="B157" i="4"/>
  <c r="A157" i="4"/>
  <c r="E156" i="4"/>
  <c r="C156" i="4"/>
  <c r="B156" i="4"/>
  <c r="A156" i="4"/>
  <c r="E155" i="4"/>
  <c r="C155" i="4"/>
  <c r="B155" i="4"/>
  <c r="A155" i="4"/>
  <c r="E153" i="4"/>
  <c r="C153" i="4"/>
  <c r="A153" i="4"/>
  <c r="E152" i="4"/>
  <c r="C152" i="4"/>
  <c r="A152" i="4"/>
  <c r="E151" i="4"/>
  <c r="C151" i="4"/>
  <c r="B151" i="4"/>
  <c r="A151" i="4"/>
  <c r="E150" i="4"/>
  <c r="C150" i="4"/>
  <c r="B150" i="4"/>
  <c r="A150" i="4"/>
  <c r="E149" i="4"/>
  <c r="C149" i="4"/>
  <c r="B149" i="4"/>
  <c r="A149" i="4"/>
  <c r="E148" i="4"/>
  <c r="C148" i="4"/>
  <c r="B148" i="4"/>
  <c r="A148" i="4"/>
  <c r="E147" i="4"/>
  <c r="C147" i="4"/>
  <c r="B147" i="4"/>
  <c r="A147" i="4"/>
  <c r="E146" i="4"/>
  <c r="C146" i="4"/>
  <c r="B146" i="4"/>
  <c r="A146" i="4"/>
  <c r="E145" i="4"/>
  <c r="C145" i="4"/>
  <c r="B145" i="4"/>
  <c r="A145" i="4"/>
  <c r="E144" i="4"/>
  <c r="C144" i="4"/>
  <c r="B144" i="4"/>
  <c r="A144" i="4"/>
  <c r="E143" i="4"/>
  <c r="D143" i="4"/>
  <c r="C143" i="4"/>
  <c r="B143" i="4"/>
  <c r="A143" i="4"/>
  <c r="E142" i="4"/>
  <c r="C142" i="4"/>
  <c r="B142" i="4"/>
  <c r="A142" i="4"/>
  <c r="E141" i="4"/>
  <c r="C141" i="4"/>
  <c r="B141" i="4"/>
  <c r="A141" i="4"/>
  <c r="E140" i="4"/>
  <c r="C140" i="4"/>
  <c r="B140" i="4"/>
  <c r="A140" i="4"/>
  <c r="E139" i="4"/>
  <c r="C139" i="4"/>
  <c r="B139" i="4"/>
  <c r="A139" i="4"/>
  <c r="E138" i="4"/>
  <c r="C138" i="4"/>
  <c r="B138" i="4"/>
  <c r="A138" i="4"/>
  <c r="E137" i="4"/>
  <c r="C137" i="4"/>
  <c r="B137" i="4"/>
  <c r="A137" i="4"/>
  <c r="E135" i="4"/>
  <c r="D135" i="4"/>
  <c r="C135" i="4"/>
  <c r="B135" i="4"/>
  <c r="A135" i="4"/>
  <c r="E134" i="4"/>
  <c r="D134" i="4"/>
  <c r="C134" i="4"/>
  <c r="B134" i="4"/>
  <c r="A134" i="4"/>
  <c r="E133" i="4"/>
  <c r="D133" i="4"/>
  <c r="C133" i="4"/>
  <c r="B133" i="4"/>
  <c r="A133" i="4"/>
  <c r="E132" i="4"/>
  <c r="D132" i="4"/>
  <c r="C132" i="4"/>
  <c r="B132" i="4"/>
  <c r="A132" i="4"/>
  <c r="E131" i="4"/>
  <c r="D131" i="4"/>
  <c r="C131" i="4"/>
  <c r="B131" i="4"/>
  <c r="A131" i="4"/>
  <c r="E130" i="4"/>
  <c r="D130" i="4"/>
  <c r="C130" i="4"/>
  <c r="B130" i="4"/>
  <c r="A130" i="4"/>
  <c r="E129" i="4"/>
  <c r="D129" i="4"/>
  <c r="C129" i="4"/>
  <c r="B129" i="4"/>
  <c r="A129" i="4"/>
  <c r="E128" i="4"/>
  <c r="D128" i="4"/>
  <c r="C128" i="4"/>
  <c r="B128" i="4"/>
  <c r="A128" i="4"/>
  <c r="E127" i="4"/>
  <c r="D127" i="4"/>
  <c r="C127" i="4"/>
  <c r="B127" i="4"/>
  <c r="A127" i="4"/>
  <c r="E126" i="4"/>
  <c r="D126" i="4"/>
  <c r="C126" i="4"/>
  <c r="B126" i="4"/>
  <c r="A126" i="4"/>
  <c r="E125" i="4"/>
  <c r="D125" i="4"/>
  <c r="C125" i="4"/>
  <c r="B125" i="4"/>
  <c r="A125" i="4"/>
  <c r="E124" i="4"/>
  <c r="D124" i="4"/>
  <c r="C124" i="4"/>
  <c r="B124" i="4"/>
  <c r="A124" i="4"/>
  <c r="E123" i="4"/>
  <c r="D123" i="4"/>
  <c r="C123" i="4"/>
  <c r="B123" i="4"/>
  <c r="A123" i="4"/>
  <c r="E122" i="4"/>
  <c r="D122" i="4"/>
  <c r="C122" i="4"/>
  <c r="B122" i="4"/>
  <c r="A122" i="4"/>
  <c r="E121" i="4"/>
  <c r="D121" i="4"/>
  <c r="C121" i="4"/>
  <c r="B121" i="4"/>
  <c r="A121" i="4"/>
  <c r="E120" i="4"/>
  <c r="D120" i="4"/>
  <c r="C120" i="4"/>
  <c r="B120" i="4"/>
  <c r="A120" i="4"/>
  <c r="E119" i="4"/>
  <c r="D119" i="4"/>
  <c r="C119" i="4"/>
  <c r="B119" i="4"/>
  <c r="A119" i="4"/>
  <c r="E118" i="4"/>
  <c r="D118" i="4"/>
  <c r="C118" i="4"/>
  <c r="B118" i="4"/>
  <c r="A118" i="4"/>
  <c r="E117" i="4"/>
  <c r="D117" i="4"/>
  <c r="C117" i="4"/>
  <c r="B117" i="4"/>
  <c r="A117" i="4"/>
  <c r="E115" i="4"/>
  <c r="D115" i="4"/>
  <c r="C115" i="4"/>
  <c r="B115" i="4"/>
  <c r="A115" i="4"/>
  <c r="E114" i="4"/>
  <c r="D114" i="4"/>
  <c r="C114" i="4"/>
  <c r="B114" i="4"/>
  <c r="A114" i="4"/>
  <c r="E113" i="4"/>
  <c r="D113" i="4"/>
  <c r="C113" i="4"/>
  <c r="B113" i="4"/>
  <c r="A113" i="4"/>
  <c r="E112" i="4"/>
  <c r="D112" i="4"/>
  <c r="C112" i="4"/>
  <c r="B112" i="4"/>
  <c r="A112" i="4"/>
  <c r="E111" i="4"/>
  <c r="D111" i="4"/>
  <c r="C111" i="4"/>
  <c r="B111" i="4"/>
  <c r="A111" i="4"/>
  <c r="E110" i="4"/>
  <c r="D110" i="4"/>
  <c r="C110" i="4"/>
  <c r="B110" i="4"/>
  <c r="A110" i="4"/>
  <c r="E109" i="4"/>
  <c r="D109" i="4"/>
  <c r="C109" i="4"/>
  <c r="B109" i="4"/>
  <c r="A109" i="4"/>
  <c r="E108" i="4"/>
  <c r="D108" i="4"/>
  <c r="C108" i="4"/>
  <c r="B108" i="4"/>
  <c r="A108" i="4"/>
  <c r="E107" i="4"/>
  <c r="D107" i="4"/>
  <c r="C107" i="4"/>
  <c r="B107" i="4"/>
  <c r="A107" i="4"/>
  <c r="E106" i="4"/>
  <c r="D106" i="4"/>
  <c r="C106" i="4"/>
  <c r="B106" i="4"/>
  <c r="A106" i="4"/>
  <c r="E105" i="4"/>
  <c r="D105" i="4"/>
  <c r="C105" i="4"/>
  <c r="B105" i="4"/>
  <c r="A105" i="4"/>
  <c r="E104" i="4"/>
  <c r="D104" i="4"/>
  <c r="C104" i="4"/>
  <c r="B104" i="4"/>
  <c r="A104" i="4"/>
  <c r="E103" i="4"/>
  <c r="D103" i="4"/>
  <c r="C103" i="4"/>
  <c r="B103" i="4"/>
  <c r="A103" i="4"/>
  <c r="E102" i="4"/>
  <c r="D102" i="4"/>
  <c r="C102" i="4"/>
  <c r="B102" i="4"/>
  <c r="A102" i="4"/>
  <c r="E101" i="4"/>
  <c r="D101" i="4"/>
  <c r="C101" i="4"/>
  <c r="B101" i="4"/>
  <c r="A101" i="4"/>
  <c r="E100" i="4"/>
  <c r="D100" i="4"/>
  <c r="C100" i="4"/>
  <c r="B100" i="4"/>
  <c r="A100" i="4"/>
  <c r="E98" i="4"/>
  <c r="D98" i="4"/>
  <c r="C98" i="4"/>
  <c r="B98" i="4"/>
  <c r="A98" i="4"/>
  <c r="E97" i="4"/>
  <c r="D97" i="4"/>
  <c r="C97" i="4"/>
  <c r="B97" i="4"/>
  <c r="A97" i="4"/>
  <c r="E96" i="4"/>
  <c r="D96" i="4"/>
  <c r="C96" i="4"/>
  <c r="B96" i="4"/>
  <c r="A96" i="4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90" i="4"/>
  <c r="E89" i="4"/>
  <c r="D89" i="4"/>
  <c r="C89" i="4"/>
  <c r="B89" i="4"/>
  <c r="A89" i="4"/>
  <c r="E88" i="4"/>
  <c r="D88" i="4"/>
  <c r="C88" i="4"/>
  <c r="B88" i="4"/>
  <c r="A88" i="4"/>
  <c r="E86" i="4"/>
  <c r="D86" i="4"/>
  <c r="C86" i="4"/>
  <c r="B86" i="4"/>
  <c r="A86" i="4"/>
  <c r="E85" i="4"/>
  <c r="D85" i="4"/>
  <c r="C85" i="4"/>
  <c r="B85" i="4"/>
  <c r="A85" i="4"/>
  <c r="E84" i="4"/>
  <c r="D84" i="4"/>
  <c r="C84" i="4"/>
  <c r="B84" i="4"/>
  <c r="A84" i="4"/>
  <c r="E83" i="4"/>
  <c r="D83" i="4"/>
  <c r="C83" i="4"/>
  <c r="B83" i="4"/>
  <c r="A83" i="4"/>
  <c r="E81" i="4"/>
  <c r="D81" i="4"/>
  <c r="C81" i="4"/>
  <c r="B81" i="4"/>
  <c r="A81" i="4"/>
  <c r="E80" i="4"/>
  <c r="D80" i="4"/>
  <c r="C80" i="4"/>
  <c r="B80" i="4"/>
  <c r="A80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3" i="4"/>
  <c r="D73" i="4"/>
  <c r="C73" i="4"/>
  <c r="B73" i="4"/>
  <c r="A73" i="4"/>
  <c r="E72" i="4"/>
  <c r="D72" i="4"/>
  <c r="C72" i="4"/>
  <c r="B72" i="4"/>
  <c r="A72" i="4"/>
  <c r="E71" i="4"/>
  <c r="D71" i="4"/>
  <c r="C71" i="4"/>
  <c r="B71" i="4"/>
  <c r="A71" i="4"/>
  <c r="E69" i="4"/>
  <c r="D69" i="4"/>
  <c r="C69" i="4"/>
  <c r="B69" i="4"/>
  <c r="A69" i="4"/>
  <c r="E68" i="4"/>
  <c r="D68" i="4"/>
  <c r="C68" i="4"/>
  <c r="B68" i="4"/>
  <c r="A68" i="4"/>
  <c r="E67" i="4"/>
  <c r="D67" i="4"/>
  <c r="C67" i="4"/>
  <c r="B67" i="4"/>
  <c r="A67" i="4"/>
  <c r="E66" i="4"/>
  <c r="D66" i="4"/>
  <c r="C66" i="4"/>
  <c r="B66" i="4"/>
  <c r="A66" i="4"/>
  <c r="E65" i="4"/>
  <c r="D65" i="4"/>
  <c r="C65" i="4"/>
  <c r="B65" i="4"/>
  <c r="A65" i="4"/>
  <c r="E64" i="4"/>
  <c r="D64" i="4"/>
  <c r="C64" i="4"/>
  <c r="B64" i="4"/>
  <c r="A64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E55" i="4"/>
  <c r="D55" i="4"/>
  <c r="C55" i="4"/>
  <c r="B55" i="4"/>
  <c r="A55" i="4"/>
  <c r="E54" i="4"/>
  <c r="D54" i="4"/>
  <c r="C54" i="4"/>
  <c r="B54" i="4"/>
  <c r="A54" i="4"/>
  <c r="E53" i="4"/>
  <c r="D53" i="4"/>
  <c r="C53" i="4"/>
  <c r="B53" i="4"/>
  <c r="A53" i="4"/>
  <c r="E52" i="4"/>
  <c r="D52" i="4"/>
  <c r="C52" i="4"/>
  <c r="B52" i="4"/>
  <c r="A52" i="4"/>
  <c r="E51" i="4"/>
  <c r="D51" i="4"/>
  <c r="C51" i="4"/>
  <c r="B51" i="4"/>
  <c r="A51" i="4"/>
  <c r="E50" i="4"/>
  <c r="D50" i="4"/>
  <c r="C50" i="4"/>
  <c r="B50" i="4"/>
  <c r="A50" i="4"/>
  <c r="E49" i="4"/>
  <c r="D49" i="4"/>
  <c r="C49" i="4"/>
  <c r="B49" i="4"/>
  <c r="A49" i="4"/>
  <c r="E48" i="4"/>
  <c r="D48" i="4"/>
  <c r="C48" i="4"/>
  <c r="B48" i="4"/>
  <c r="A48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  <c r="E3" i="4"/>
  <c r="D3" i="4"/>
  <c r="C3" i="4"/>
  <c r="B3" i="4"/>
  <c r="A3" i="4"/>
  <c r="B1" i="4"/>
</calcChain>
</file>

<file path=xl/sharedStrings.xml><?xml version="1.0" encoding="utf-8"?>
<sst xmlns="http://schemas.openxmlformats.org/spreadsheetml/2006/main" count="4" uniqueCount="4">
  <si>
    <t>code</t>
  </si>
  <si>
    <t>Xaridor korxonasi nomi</t>
  </si>
  <si>
    <t>xaridor filiali kodi</t>
  </si>
  <si>
    <t>xaridor filiali 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</si>
</sst>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8"/>
      <color theme="1"/>
      <name val="Arial"/>
      <charset val="134"/>
    </font>
    <font>
      <sz val="10"/>
      <name val="Arial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b/>
      <sz val="11"/>
      <color theme="1"/>
      <name val="Arial"/>
      <charset val="134"/>
    </font>
    <font>
      <b/>
      <sz val="11"/>
      <color rgb="FF212B36"/>
      <name val="Arial"/>
      <charset val="134"/>
    </font>
    <font>
      <sz val="10"/>
      <color theme="1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8BC34A"/>
        <bgColor rgb="FF8BC34A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4" fillId="5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/>
    <xf numFmtId="2" fontId="6" fillId="5" borderId="1" xfId="0" applyNumberFormat="1" applyFont="1" applyFill="1" applyBorder="1" applyAlignment="1">
      <alignment horizontal="center" wrapText="1"/>
    </xf>
    <xf numFmtId="2" fontId="7" fillId="5" borderId="1" xfId="0" applyNumberFormat="1" applyFont="1" applyFill="1" applyBorder="1" applyAlignment="1">
      <alignment horizontal="center" wrapText="1"/>
    </xf>
    <xf numFmtId="2" fontId="5" fillId="5" borderId="1" xfId="0" applyNumberFormat="1" applyFont="1" applyFill="1" applyBorder="1"/>
    <xf numFmtId="0" fontId="5" fillId="5" borderId="1" xfId="0" applyFont="1" applyFill="1" applyBorder="1"/>
    <xf numFmtId="0" fontId="8" fillId="5" borderId="0" xfId="0" applyFont="1" applyFill="1"/>
    <xf numFmtId="0" fontId="8" fillId="0" borderId="0" xfId="0" applyFont="1"/>
    <xf numFmtId="0" fontId="1" fillId="0" borderId="1" xfId="0" applyFont="1" applyBorder="1"/>
    <xf numFmtId="0" fontId="2" fillId="2" borderId="2" xfId="0" applyFont="1" applyFill="1" applyBorder="1" applyAlignment="1">
      <alignment horizontal="center" wrapText="1"/>
    </xf>
    <xf numFmtId="0" fontId="3" fillId="4" borderId="3" xfId="0" applyFont="1" applyFill="1" applyBorder="1"/>
    <xf numFmtId="0" fontId="2" fillId="3" borderId="2" xfId="0" applyFont="1" applyFill="1" applyBorder="1" applyAlignment="1">
      <alignment horizontal="center" wrapText="1"/>
    </xf>
    <xf numFmtId="0" fontId="3" fillId="0" borderId="3" xfId="0" applyFont="1" applyBorder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36"/>
  <sheetViews>
    <sheetView tabSelected="1" zoomScale="82" workbookViewId="0">
      <selection activeCell="H8" sqref="H8"/>
    </sheetView>
  </sheetViews>
  <sheetFormatPr defaultColWidth="12.6640625" defaultRowHeight="15.75" customHeight="1"/>
  <cols>
    <col min="1" max="1" width="8" customWidth="1"/>
    <col min="2" max="2" width="11.88671875" customWidth="1"/>
    <col min="3" max="3" width="31.21875" customWidth="1"/>
    <col min="4" max="4" width="24.6640625" customWidth="1"/>
    <col min="5" max="5" width="23.109375" customWidth="1"/>
  </cols>
  <sheetData>
    <row r="1" spans="1:5" ht="15.75" customHeight="1">
      <c r="A1" s="11" t="s">
        <v>0</v>
      </c>
      <c r="B1" s="13" t="str">
        <f ca="1">IFERROR(__xludf.DUMMYFUNCTION("""COMPUTED_VALUE"""),"INN")</f>
        <v>INN</v>
      </c>
      <c r="C1" s="13" t="s">
        <v>1</v>
      </c>
      <c r="D1" s="13" t="s">
        <v>2</v>
      </c>
      <c r="E1" s="13" t="s">
        <v>3</v>
      </c>
    </row>
    <row r="2" spans="1:5" ht="15.75" customHeight="1">
      <c r="A2" s="12"/>
      <c r="B2" s="14"/>
      <c r="C2" s="14"/>
      <c r="D2" s="14"/>
      <c r="E2" s="14"/>
    </row>
    <row r="3" spans="1:5" ht="129.6" customHeight="1">
      <c r="A3" s="1">
        <f ca="1">IFERROR(__xludf.DUMMYFUNCTION("""COMPUTED_VALUE"""),1.11)</f>
        <v>1.1100000000000001</v>
      </c>
      <c r="B3" s="15">
        <f ca="1">IFERROR(__xludf.DUMMYFUNCTION("""COMPUTED_VALUE"""),310920400)</f>
        <v>310920400</v>
      </c>
      <c r="C3" s="15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" s="15">
        <f ca="1">IFERROR(__xludf.DUMMYFUNCTION("""COMPUTED_VALUE"""),85)</f>
        <v>85</v>
      </c>
      <c r="E3" s="15" t="str">
        <f ca="1">IFERROR(__xludf.DUMMYFUNCTION("""COMPUTED_VALUE"""),"TEMIRYO‘LINFRATUZILMA АЖ Аппарат (00085)(ТЕМИРЙУЛИНФРАТУЗИЛМА)(ЕДЦ)")</f>
        <v>TEMIRYO‘LINFRATUZILMA АЖ Аппарат (00085)(ТЕМИРЙУЛИНФРАТУЗИЛМА)(ЕДЦ)</v>
      </c>
    </row>
    <row r="4" spans="1:5" ht="45" customHeight="1">
      <c r="A4" s="4">
        <f ca="1">IFERROR(__xludf.DUMMYFUNCTION("""COMPUTED_VALUE"""),1.12)</f>
        <v>1.1200000000000001</v>
      </c>
      <c r="B4" s="2">
        <f ca="1">IFERROR(__xludf.DUMMYFUNCTION("""COMPUTED_VALUE"""),310920400)</f>
        <v>310920400</v>
      </c>
      <c r="C4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" s="2">
        <f ca="1">IFERROR(__xludf.DUMMYFUNCTION("""COMPUTED_VALUE"""),86)</f>
        <v>86</v>
      </c>
      <c r="E4" s="2" t="str">
        <f ca="1">IFERROR(__xludf.DUMMYFUNCTION("""COMPUTED_VALUE"""),"""TEMIRYOLINFRATUZILMA"" AJ (PERSONALNI TAYYORLASH MUASSASI, Персонални тайёрлаш муассасаси)")</f>
        <v>"TEMIRYOLINFRATUZILMA" AJ (PERSONALNI TAYYORLASH MUASSASI, Персонални тайёрлаш муассасаси)</v>
      </c>
    </row>
    <row r="5" spans="1:5" ht="45" customHeight="1">
      <c r="A5" s="4">
        <f ca="1">IFERROR(__xludf.DUMMYFUNCTION("""COMPUTED_VALUE"""),1.13)</f>
        <v>1.1299999999999999</v>
      </c>
      <c r="B5" s="2">
        <f ca="1">IFERROR(__xludf.DUMMYFUNCTION("""COMPUTED_VALUE"""),310920400)</f>
        <v>310920400</v>
      </c>
      <c r="C5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" s="2">
        <f ca="1">IFERROR(__xludf.DUMMYFUNCTION("""COMPUTED_VALUE"""),88)</f>
        <v>88</v>
      </c>
      <c r="E5" s="2" t="str">
        <f ca="1">IFERROR(__xludf.DUMMYFUNCTION("""COMPUTED_VALUE"""),"""Тошкент минтакавий темир йўл узели"" филиали (РЖУ Тошкент, МТУ)")</f>
        <v>"Тошкент минтакавий темир йўл узели" филиали (РЖУ Тошкент, МТУ)</v>
      </c>
    </row>
    <row r="6" spans="1:5" ht="45" customHeight="1">
      <c r="A6" s="4">
        <f ca="1">IFERROR(__xludf.DUMMYFUNCTION("""COMPUTED_VALUE"""),1.14)</f>
        <v>1.1399999999999999</v>
      </c>
      <c r="B6" s="2">
        <f ca="1">IFERROR(__xludf.DUMMYFUNCTION("""COMPUTED_VALUE"""),310920400)</f>
        <v>310920400</v>
      </c>
      <c r="C6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" s="2">
        <f ca="1">IFERROR(__xludf.DUMMYFUNCTION("""COMPUTED_VALUE"""),89)</f>
        <v>89</v>
      </c>
      <c r="E6" s="2" t="str">
        <f ca="1">IFERROR(__xludf.DUMMYFUNCTION("""COMPUTED_VALUE"""),"Салар темир йўл масофаси (ПЧ-1)")</f>
        <v>Салар темир йўл масофаси (ПЧ-1)</v>
      </c>
    </row>
    <row r="7" spans="1:5" ht="45" customHeight="1">
      <c r="A7" s="4">
        <f ca="1">IFERROR(__xludf.DUMMYFUNCTION("""COMPUTED_VALUE"""),1.15)</f>
        <v>1.1499999999999999</v>
      </c>
      <c r="B7" s="2">
        <f ca="1">IFERROR(__xludf.DUMMYFUNCTION("""COMPUTED_VALUE"""),310920400)</f>
        <v>310920400</v>
      </c>
      <c r="C7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7" s="2">
        <f ca="1">IFERROR(__xludf.DUMMYFUNCTION("""COMPUTED_VALUE"""),90)</f>
        <v>90</v>
      </c>
      <c r="E7" s="2" t="str">
        <f ca="1">IFERROR(__xludf.DUMMYFUNCTION("""COMPUTED_VALUE"""),"Тошкент темир йўл масофаси (ПЧ-2)")</f>
        <v>Тошкент темир йўл масофаси (ПЧ-2)</v>
      </c>
    </row>
    <row r="8" spans="1:5" ht="45" customHeight="1">
      <c r="A8" s="4">
        <f ca="1">IFERROR(__xludf.DUMMYFUNCTION("""COMPUTED_VALUE"""),1.16)</f>
        <v>1.1599999999999999</v>
      </c>
      <c r="B8" s="2">
        <f ca="1">IFERROR(__xludf.DUMMYFUNCTION("""COMPUTED_VALUE"""),310920400)</f>
        <v>310920400</v>
      </c>
      <c r="C8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8" s="2">
        <f ca="1">IFERROR(__xludf.DUMMYFUNCTION("""COMPUTED_VALUE"""),91)</f>
        <v>91</v>
      </c>
      <c r="E8" s="2" t="str">
        <f ca="1">IFERROR(__xludf.DUMMYFUNCTION("""COMPUTED_VALUE"""),"Тошкент электр таъминот дистанцияси (ЭЧ-1)")</f>
        <v>Тошкент электр таъминот дистанцияси (ЭЧ-1)</v>
      </c>
    </row>
    <row r="9" spans="1:5" ht="45" customHeight="1">
      <c r="A9" s="4">
        <f ca="1">IFERROR(__xludf.DUMMYFUNCTION("""COMPUTED_VALUE"""),1.17)</f>
        <v>1.17</v>
      </c>
      <c r="B9" s="2">
        <f ca="1">IFERROR(__xludf.DUMMYFUNCTION("""COMPUTED_VALUE"""),310920400)</f>
        <v>310920400</v>
      </c>
      <c r="C9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9" s="2">
        <f ca="1">IFERROR(__xludf.DUMMYFUNCTION("""COMPUTED_VALUE"""),92)</f>
        <v>92</v>
      </c>
      <c r="E9" s="2" t="str">
        <f ca="1">IFERROR(__xludf.DUMMYFUNCTION("""COMPUTED_VALUE"""),"Тошкент сигнализация ва алока дистанцияси (ШЧ-1 ШЧ-2)")</f>
        <v>Тошкент сигнализация ва алока дистанцияси (ШЧ-1 ШЧ-2)</v>
      </c>
    </row>
    <row r="10" spans="1:5" ht="45" customHeight="1">
      <c r="A10" s="4">
        <f ca="1">IFERROR(__xludf.DUMMYFUNCTION("""COMPUTED_VALUE"""),1.18)</f>
        <v>1.18</v>
      </c>
      <c r="B10" s="2">
        <f ca="1">IFERROR(__xludf.DUMMYFUNCTION("""COMPUTED_VALUE"""),310920400)</f>
        <v>310920400</v>
      </c>
      <c r="C10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0" s="2">
        <f ca="1">IFERROR(__xludf.DUMMYFUNCTION("""COMPUTED_VALUE"""),94)</f>
        <v>94</v>
      </c>
      <c r="E10" s="2" t="str">
        <f ca="1">IFERROR(__xludf.DUMMYFUNCTION("""COMPUTED_VALUE"""),"Ховос темир йўл масофаси (ПЧ-4)")</f>
        <v>Ховос темир йўл масофаси (ПЧ-4)</v>
      </c>
    </row>
    <row r="11" spans="1:5" ht="45" customHeight="1">
      <c r="A11" s="4">
        <f ca="1">IFERROR(__xludf.DUMMYFUNCTION("""COMPUTED_VALUE"""),1.19)</f>
        <v>1.19</v>
      </c>
      <c r="B11" s="2">
        <f ca="1">IFERROR(__xludf.DUMMYFUNCTION("""COMPUTED_VALUE"""),310920400)</f>
        <v>310920400</v>
      </c>
      <c r="C11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1" s="2">
        <f ca="1">IFERROR(__xludf.DUMMYFUNCTION("""COMPUTED_VALUE"""),95)</f>
        <v>95</v>
      </c>
      <c r="E11" s="2" t="str">
        <f ca="1">IFERROR(__xludf.DUMMYFUNCTION("""COMPUTED_VALUE"""),"Ховос электр таъминот дистанцияси (ЭЧ-2)")</f>
        <v>Ховос электр таъминот дистанцияси (ЭЧ-2)</v>
      </c>
    </row>
    <row r="12" spans="1:5" ht="45" customHeight="1">
      <c r="A12" s="4">
        <f ca="1">IFERROR(__xludf.DUMMYFUNCTION("""COMPUTED_VALUE"""),1.2)</f>
        <v>1.2</v>
      </c>
      <c r="B12" s="2">
        <f ca="1">IFERROR(__xludf.DUMMYFUNCTION("""COMPUTED_VALUE"""),310920400)</f>
        <v>310920400</v>
      </c>
      <c r="C12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2" s="2">
        <f ca="1">IFERROR(__xludf.DUMMYFUNCTION("""COMPUTED_VALUE"""),96)</f>
        <v>96</v>
      </c>
      <c r="E12" s="2" t="str">
        <f ca="1">IFERROR(__xludf.DUMMYFUNCTION("""COMPUTED_VALUE"""),"Ховос сигналлаштириш ва алока масофасиси (ШЧ-3)")</f>
        <v>Ховос сигналлаштириш ва алока масофасиси (ШЧ-3)</v>
      </c>
    </row>
    <row r="13" spans="1:5" ht="45" customHeight="1">
      <c r="A13" s="4">
        <f ca="1">IFERROR(__xludf.DUMMYFUNCTION("""COMPUTED_VALUE"""),1.21)</f>
        <v>1.21</v>
      </c>
      <c r="B13" s="2">
        <f ca="1">IFERROR(__xludf.DUMMYFUNCTION("""COMPUTED_VALUE"""),310920400)</f>
        <v>310920400</v>
      </c>
      <c r="C13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3" s="2">
        <f ca="1">IFERROR(__xludf.DUMMYFUNCTION("""COMPUTED_VALUE"""),97)</f>
        <v>97</v>
      </c>
      <c r="E13" s="2" t="str">
        <f ca="1">IFERROR(__xludf.DUMMYFUNCTION("""COMPUTED_VALUE"""),"Тошкент бўлимининг техника таъминоти бўлими Ховос бекати (ОМТС,НОДХ)")</f>
        <v>Тошкент бўлимининг техника таъминоти бўлими Ховос бекати (ОМТС,НОДХ)</v>
      </c>
    </row>
    <row r="14" spans="1:5" ht="45" customHeight="1">
      <c r="A14" s="4">
        <f ca="1">IFERROR(__xludf.DUMMYFUNCTION("""COMPUTED_VALUE"""),1.22)</f>
        <v>1.22</v>
      </c>
      <c r="B14" s="2">
        <f ca="1">IFERROR(__xludf.DUMMYFUNCTION("""COMPUTED_VALUE"""),310920400)</f>
        <v>310920400</v>
      </c>
      <c r="C14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4" s="2">
        <f ca="1">IFERROR(__xludf.DUMMYFUNCTION("""COMPUTED_VALUE"""),98)</f>
        <v>98</v>
      </c>
      <c r="E14" s="2" t="str">
        <f ca="1">IFERROR(__xludf.DUMMYFUNCTION("""COMPUTED_VALUE"""),"Жиззах темир йўл масофаси (ПЧ-5)")</f>
        <v>Жиззах темир йўл масофаси (ПЧ-5)</v>
      </c>
    </row>
    <row r="15" spans="1:5" ht="45" customHeight="1">
      <c r="A15" s="4">
        <f ca="1">IFERROR(__xludf.DUMMYFUNCTION("""COMPUTED_VALUE"""),1.23)</f>
        <v>1.23</v>
      </c>
      <c r="B15" s="2">
        <f ca="1">IFERROR(__xludf.DUMMYFUNCTION("""COMPUTED_VALUE"""),310920400)</f>
        <v>310920400</v>
      </c>
      <c r="C15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5" s="2">
        <f ca="1">IFERROR(__xludf.DUMMYFUNCTION("""COMPUTED_VALUE"""),99)</f>
        <v>99</v>
      </c>
      <c r="E15" s="2" t="str">
        <f ca="1">IFERROR(__xludf.DUMMYFUNCTION("""COMPUTED_VALUE"""),"Сув таъминоти ва биноларни сақлаш дистанцияси (ВОДЧ-1)")</f>
        <v>Сув таъминоти ва биноларни сақлаш дистанцияси (ВОДЧ-1)</v>
      </c>
    </row>
    <row r="16" spans="1:5" ht="45" customHeight="1">
      <c r="A16" s="4">
        <f ca="1">IFERROR(__xludf.DUMMYFUNCTION("""COMPUTED_VALUE"""),1.24)</f>
        <v>1.24</v>
      </c>
      <c r="B16" s="2">
        <f ca="1">IFERROR(__xludf.DUMMYFUNCTION("""COMPUTED_VALUE"""),310920400)</f>
        <v>310920400</v>
      </c>
      <c r="C16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6" s="2">
        <f ca="1">IFERROR(__xludf.DUMMYFUNCTION("""COMPUTED_VALUE"""),70)</f>
        <v>70</v>
      </c>
      <c r="E16" s="2" t="str">
        <f ca="1">IFERROR(__xludf.DUMMYFUNCTION("""COMPUTED_VALUE"""),"203-сон Тажриба йўл машина станцияси (ОПМС-203)")</f>
        <v>203-сон Тажриба йўл машина станцияси (ОПМС-203)</v>
      </c>
    </row>
    <row r="17" spans="1:5" ht="45" customHeight="1">
      <c r="A17" s="4">
        <f ca="1">IFERROR(__xludf.DUMMYFUNCTION("""COMPUTED_VALUE"""),1.25)</f>
        <v>1.25</v>
      </c>
      <c r="B17" s="2">
        <f ca="1">IFERROR(__xludf.DUMMYFUNCTION("""COMPUTED_VALUE"""),310920400)</f>
        <v>310920400</v>
      </c>
      <c r="C17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7" s="2">
        <f ca="1">IFERROR(__xludf.DUMMYFUNCTION("""COMPUTED_VALUE"""),71)</f>
        <v>71</v>
      </c>
      <c r="E17" s="2" t="str">
        <f ca="1">IFERROR(__xludf.DUMMYFUNCTION("""COMPUTED_VALUE"""),"Темир йўл мониторинги ва диагностика маркази (ЦМД)")</f>
        <v>Темир йўл мониторинги ва диагностика маркази (ЦМД)</v>
      </c>
    </row>
    <row r="18" spans="1:5" ht="45" customHeight="1">
      <c r="A18" s="4">
        <f ca="1">IFERROR(__xludf.DUMMYFUNCTION("""COMPUTED_VALUE"""),1.26)</f>
        <v>1.26</v>
      </c>
      <c r="B18" s="2">
        <f ca="1">IFERROR(__xludf.DUMMYFUNCTION("""COMPUTED_VALUE"""),310920400)</f>
        <v>310920400</v>
      </c>
      <c r="C18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8" s="2">
        <f ca="1">IFERROR(__xludf.DUMMYFUNCTION("""COMPUTED_VALUE"""),100)</f>
        <v>100</v>
      </c>
      <c r="E18" s="2" t="str">
        <f ca="1">IFERROR(__xludf.DUMMYFUNCTION("""COMPUTED_VALUE"""),"""Кўкон минтакавий темир йўл узели"" филиали (РЖУ Коканд, МТУ)")</f>
        <v>"Кўкон минтакавий темир йўл узели" филиали (РЖУ Коканд, МТУ)</v>
      </c>
    </row>
    <row r="19" spans="1:5" ht="45" customHeight="1">
      <c r="A19" s="4">
        <f ca="1">IFERROR(__xludf.DUMMYFUNCTION("""COMPUTED_VALUE"""),1.27)</f>
        <v>1.27</v>
      </c>
      <c r="B19" s="2">
        <f ca="1">IFERROR(__xludf.DUMMYFUNCTION("""COMPUTED_VALUE"""),310920400)</f>
        <v>310920400</v>
      </c>
      <c r="C19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19" s="2">
        <f ca="1">IFERROR(__xludf.DUMMYFUNCTION("""COMPUTED_VALUE"""),101)</f>
        <v>101</v>
      </c>
      <c r="E19" s="2" t="str">
        <f ca="1">IFERROR(__xludf.DUMMYFUNCTION("""COMPUTED_VALUE"""),"Қўқон темир йўл масофаси (ПЧ-6)")</f>
        <v>Қўқон темир йўл масофаси (ПЧ-6)</v>
      </c>
    </row>
    <row r="20" spans="1:5" ht="45" customHeight="1">
      <c r="A20" s="4">
        <f ca="1">IFERROR(__xludf.DUMMYFUNCTION("""COMPUTED_VALUE"""),1.28)</f>
        <v>1.28</v>
      </c>
      <c r="B20" s="2">
        <f ca="1">IFERROR(__xludf.DUMMYFUNCTION("""COMPUTED_VALUE"""),310920400)</f>
        <v>310920400</v>
      </c>
      <c r="C20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0" s="2">
        <f ca="1">IFERROR(__xludf.DUMMYFUNCTION("""COMPUTED_VALUE"""),102)</f>
        <v>102</v>
      </c>
      <c r="E20" s="2" t="str">
        <f ca="1">IFERROR(__xludf.DUMMYFUNCTION("""COMPUTED_VALUE"""),"Кўкон локомотив депоси (ТЧ-2)")</f>
        <v>Кўкон локомотив депоси (ТЧ-2)</v>
      </c>
    </row>
    <row r="21" spans="1:5" ht="45" customHeight="1">
      <c r="A21" s="4">
        <f ca="1">IFERROR(__xludf.DUMMYFUNCTION("""COMPUTED_VALUE"""),1.29)</f>
        <v>1.29</v>
      </c>
      <c r="B21" s="2">
        <f ca="1">IFERROR(__xludf.DUMMYFUNCTION("""COMPUTED_VALUE"""),310920400)</f>
        <v>310920400</v>
      </c>
      <c r="C21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1" s="2">
        <f ca="1">IFERROR(__xludf.DUMMYFUNCTION("""COMPUTED_VALUE"""),104)</f>
        <v>104</v>
      </c>
      <c r="E21" s="2" t="str">
        <f ca="1">IFERROR(__xludf.DUMMYFUNCTION("""COMPUTED_VALUE"""),"Қўқон сигнализация ва алоқа дистанцияси (ШЧ-4)")</f>
        <v>Қўқон сигнализация ва алоқа дистанцияси (ШЧ-4)</v>
      </c>
    </row>
    <row r="22" spans="1:5" ht="45" customHeight="1">
      <c r="A22" s="4">
        <f ca="1">IFERROR(__xludf.DUMMYFUNCTION("""COMPUTED_VALUE"""),1.3)</f>
        <v>1.3</v>
      </c>
      <c r="B22" s="2">
        <f ca="1">IFERROR(__xludf.DUMMYFUNCTION("""COMPUTED_VALUE"""),310920400)</f>
        <v>310920400</v>
      </c>
      <c r="C22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2" s="2">
        <f ca="1">IFERROR(__xludf.DUMMYFUNCTION("""COMPUTED_VALUE"""),105)</f>
        <v>105</v>
      </c>
      <c r="E22" s="2" t="str">
        <f ca="1">IFERROR(__xludf.DUMMYFUNCTION("""COMPUTED_VALUE"""),"Қўқон электр таъминот дистанцияси (ЭЧ-3)")</f>
        <v>Қўқон электр таъминот дистанцияси (ЭЧ-3)</v>
      </c>
    </row>
    <row r="23" spans="1:5" ht="45" customHeight="1">
      <c r="A23" s="4">
        <f ca="1">IFERROR(__xludf.DUMMYFUNCTION("""COMPUTED_VALUE"""),1.31)</f>
        <v>1.31</v>
      </c>
      <c r="B23" s="2">
        <f ca="1">IFERROR(__xludf.DUMMYFUNCTION("""COMPUTED_VALUE"""),310920400)</f>
        <v>310920400</v>
      </c>
      <c r="C23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3" s="2">
        <f ca="1">IFERROR(__xludf.DUMMYFUNCTION("""COMPUTED_VALUE"""),106)</f>
        <v>106</v>
      </c>
      <c r="E23" s="2" t="str">
        <f ca="1">IFERROR(__xludf.DUMMYFUNCTION("""COMPUTED_VALUE"""),"Олтиариқ вагонларни буғлаб ювиш корхонаси (ВЧН-3)")</f>
        <v>Олтиариқ вагонларни буғлаб ювиш корхонаси (ВЧН-3)</v>
      </c>
    </row>
    <row r="24" spans="1:5" ht="45" customHeight="1">
      <c r="A24" s="4">
        <f ca="1">IFERROR(__xludf.DUMMYFUNCTION("""COMPUTED_VALUE"""),1.32)</f>
        <v>1.32</v>
      </c>
      <c r="B24" s="2">
        <f ca="1">IFERROR(__xludf.DUMMYFUNCTION("""COMPUTED_VALUE"""),310920400)</f>
        <v>310920400</v>
      </c>
      <c r="C24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4" s="2">
        <f ca="1">IFERROR(__xludf.DUMMYFUNCTION("""COMPUTED_VALUE"""),107)</f>
        <v>107</v>
      </c>
      <c r="E24" s="2" t="str">
        <f ca="1">IFERROR(__xludf.DUMMYFUNCTION("""COMPUTED_VALUE"""),"""Қўқон"" минтақавий темир йўл узелининг ""Андижон"" филиали")</f>
        <v>"Қўқон" минтақавий темир йўл узелининг "Андижон" филиали</v>
      </c>
    </row>
    <row r="25" spans="1:5" ht="45" customHeight="1">
      <c r="A25" s="4">
        <f ca="1">IFERROR(__xludf.DUMMYFUNCTION("""COMPUTED_VALUE"""),1.33)</f>
        <v>1.33</v>
      </c>
      <c r="B25" s="2">
        <f ca="1">IFERROR(__xludf.DUMMYFUNCTION("""COMPUTED_VALUE"""),310920400)</f>
        <v>310920400</v>
      </c>
      <c r="C25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5" s="2">
        <f ca="1">IFERROR(__xludf.DUMMYFUNCTION("""COMPUTED_VALUE"""),108)</f>
        <v>108</v>
      </c>
      <c r="E25" s="2" t="str">
        <f ca="1">IFERROR(__xludf.DUMMYFUNCTION("""COMPUTED_VALUE"""),"Андижон темир йўл масофаси (ПЧ-7)")</f>
        <v>Андижон темир йўл масофаси (ПЧ-7)</v>
      </c>
    </row>
    <row r="26" spans="1:5" ht="45" customHeight="1">
      <c r="A26" s="4">
        <f ca="1">IFERROR(__xludf.DUMMYFUNCTION("""COMPUTED_VALUE"""),1.34)</f>
        <v>1.34</v>
      </c>
      <c r="B26" s="2">
        <f ca="1">IFERROR(__xludf.DUMMYFUNCTION("""COMPUTED_VALUE"""),310920400)</f>
        <v>310920400</v>
      </c>
      <c r="C26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6" s="3"/>
      <c r="E26" s="2" t="str">
        <f ca="1">IFERROR(__xludf.DUMMYFUNCTION("""COMPUTED_VALUE"""),"Қуқон қурилиш таъмир участкаси (РСУ)")</f>
        <v>Қуқон қурилиш таъмир участкаси (РСУ)</v>
      </c>
    </row>
    <row r="27" spans="1:5" ht="45" customHeight="1">
      <c r="A27" s="4">
        <f ca="1">IFERROR(__xludf.DUMMYFUNCTION("""COMPUTED_VALUE"""),1.35)</f>
        <v>1.35</v>
      </c>
      <c r="B27" s="2">
        <f ca="1">IFERROR(__xludf.DUMMYFUNCTION("""COMPUTED_VALUE"""),310920400)</f>
        <v>310920400</v>
      </c>
      <c r="C27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7" s="2">
        <f ca="1">IFERROR(__xludf.DUMMYFUNCTION("""COMPUTED_VALUE"""),110)</f>
        <v>110</v>
      </c>
      <c r="E27" s="2" t="str">
        <f ca="1">IFERROR(__xludf.DUMMYFUNCTION("""COMPUTED_VALUE"""),"Қамчиқ темир йўл масофаси (ПЧ-3)")</f>
        <v>Қамчиқ темир йўл масофаси (ПЧ-3)</v>
      </c>
    </row>
    <row r="28" spans="1:5" ht="45" customHeight="1">
      <c r="A28" s="4">
        <f ca="1">IFERROR(__xludf.DUMMYFUNCTION("""COMPUTED_VALUE"""),1.35999999999999)</f>
        <v>1.3599999999999901</v>
      </c>
      <c r="B28" s="2">
        <f ca="1">IFERROR(__xludf.DUMMYFUNCTION("""COMPUTED_VALUE"""),310920400)</f>
        <v>310920400</v>
      </c>
      <c r="C28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8" s="2">
        <f ca="1">IFERROR(__xludf.DUMMYFUNCTION("""COMPUTED_VALUE"""),149)</f>
        <v>149</v>
      </c>
      <c r="E28" s="2" t="str">
        <f ca="1">IFERROR(__xludf.DUMMYFUNCTION("""COMPUTED_VALUE"""),"164-сон Қўқон темир йўл машина бекати (ПМС-164)")</f>
        <v>164-сон Қўқон темир йўл машина бекати (ПМС-164)</v>
      </c>
    </row>
    <row r="29" spans="1:5" ht="45" customHeight="1">
      <c r="A29" s="4">
        <f ca="1">IFERROR(__xludf.DUMMYFUNCTION("""COMPUTED_VALUE"""),1.36999999999999)</f>
        <v>1.3699999999999899</v>
      </c>
      <c r="B29" s="2">
        <f ca="1">IFERROR(__xludf.DUMMYFUNCTION("""COMPUTED_VALUE"""),310920400)</f>
        <v>310920400</v>
      </c>
      <c r="C29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29" s="2">
        <f ca="1">IFERROR(__xludf.DUMMYFUNCTION("""COMPUTED_VALUE"""),111)</f>
        <v>111</v>
      </c>
      <c r="E29" s="2" t="str">
        <f ca="1">IFERROR(__xludf.DUMMYFUNCTION("""COMPUTED_VALUE"""),"""Бухоро минтакавий темир йўл узели"" филиали (РЖУ Бухоро, МТУ )")</f>
        <v>"Бухоро минтакавий темир йўл узели" филиали (РЖУ Бухоро, МТУ )</v>
      </c>
    </row>
    <row r="30" spans="1:5" ht="45" customHeight="1">
      <c r="A30" s="4">
        <f ca="1">IFERROR(__xludf.DUMMYFUNCTION("""COMPUTED_VALUE"""),1.37999999999999)</f>
        <v>1.3799999999999899</v>
      </c>
      <c r="B30" s="2">
        <f ca="1">IFERROR(__xludf.DUMMYFUNCTION("""COMPUTED_VALUE"""),310920400)</f>
        <v>310920400</v>
      </c>
      <c r="C30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0" s="2">
        <f ca="1">IFERROR(__xludf.DUMMYFUNCTION("""COMPUTED_VALUE"""),112)</f>
        <v>112</v>
      </c>
      <c r="E30" s="2" t="str">
        <f ca="1">IFERROR(__xludf.DUMMYFUNCTION("""COMPUTED_VALUE"""),"Бухоро локомотив депоси (ТЧ-6)")</f>
        <v>Бухоро локомотив депоси (ТЧ-6)</v>
      </c>
    </row>
    <row r="31" spans="1:5" ht="45" customHeight="1">
      <c r="A31" s="4">
        <f ca="1">IFERROR(__xludf.DUMMYFUNCTION("""COMPUTED_VALUE"""),1.38999999999999)</f>
        <v>1.3899999999999899</v>
      </c>
      <c r="B31" s="2">
        <f ca="1">IFERROR(__xludf.DUMMYFUNCTION("""COMPUTED_VALUE"""),310920400)</f>
        <v>310920400</v>
      </c>
      <c r="C31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1" s="2">
        <f ca="1">IFERROR(__xludf.DUMMYFUNCTION("""COMPUTED_VALUE"""),113)</f>
        <v>113</v>
      </c>
      <c r="E31" s="2" t="str">
        <f ca="1">IFERROR(__xludf.DUMMYFUNCTION("""COMPUTED_VALUE"""),"Бухоро темир йўл масофаси (ПЧ-10)")</f>
        <v>Бухоро темир йўл масофаси (ПЧ-10)</v>
      </c>
    </row>
    <row r="32" spans="1:5" ht="45" customHeight="1">
      <c r="A32" s="4">
        <f ca="1">IFERROR(__xludf.DUMMYFUNCTION("""COMPUTED_VALUE"""),1.39999999999999)</f>
        <v>1.3999999999999899</v>
      </c>
      <c r="B32" s="2">
        <f ca="1">IFERROR(__xludf.DUMMYFUNCTION("""COMPUTED_VALUE"""),310920400)</f>
        <v>310920400</v>
      </c>
      <c r="C32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2" s="2">
        <f ca="1">IFERROR(__xludf.DUMMYFUNCTION("""COMPUTED_VALUE"""),114)</f>
        <v>114</v>
      </c>
      <c r="E32" s="2" t="str">
        <f ca="1">IFERROR(__xludf.DUMMYFUNCTION("""COMPUTED_VALUE"""),"Бухоро сигнализация ва алоқа дистанцияси (ШЧ-7)")</f>
        <v>Бухоро сигнализация ва алоқа дистанцияси (ШЧ-7)</v>
      </c>
    </row>
    <row r="33" spans="1:5" ht="45" customHeight="1">
      <c r="A33" s="4">
        <f ca="1">IFERROR(__xludf.DUMMYFUNCTION("""COMPUTED_VALUE"""),1.40999999999999)</f>
        <v>1.4099999999999899</v>
      </c>
      <c r="B33" s="2">
        <f ca="1">IFERROR(__xludf.DUMMYFUNCTION("""COMPUTED_VALUE"""),310920400)</f>
        <v>310920400</v>
      </c>
      <c r="C33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3" s="2">
        <f ca="1">IFERROR(__xludf.DUMMYFUNCTION("""COMPUTED_VALUE"""),115)</f>
        <v>115</v>
      </c>
      <c r="E33" s="2" t="str">
        <f ca="1">IFERROR(__xludf.DUMMYFUNCTION("""COMPUTED_VALUE"""),"Бухоро электр таъминот дистанцияси (ЭЧ-4)")</f>
        <v>Бухоро электр таъминот дистанцияси (ЭЧ-4)</v>
      </c>
    </row>
    <row r="34" spans="1:5" ht="45" customHeight="1">
      <c r="A34" s="4">
        <f ca="1">IFERROR(__xludf.DUMMYFUNCTION("""COMPUTED_VALUE"""),1.41999999999999)</f>
        <v>1.4199999999999899</v>
      </c>
      <c r="B34" s="2">
        <f ca="1">IFERROR(__xludf.DUMMYFUNCTION("""COMPUTED_VALUE"""),310920400)</f>
        <v>310920400</v>
      </c>
      <c r="C34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4" s="2">
        <f ca="1">IFERROR(__xludf.DUMMYFUNCTION("""COMPUTED_VALUE"""),116)</f>
        <v>116</v>
      </c>
      <c r="E34" s="2" t="str">
        <f ca="1">IFERROR(__xludf.DUMMYFUNCTION("""COMPUTED_VALUE"""),"Қоровулбозор станцияси (ДС Караулбазар)")</f>
        <v>Қоровулбозор станцияси (ДС Караулбазар)</v>
      </c>
    </row>
    <row r="35" spans="1:5" ht="45" customHeight="1">
      <c r="A35" s="4">
        <f ca="1">IFERROR(__xludf.DUMMYFUNCTION("""COMPUTED_VALUE"""),1.42999999999999)</f>
        <v>1.4299999999999899</v>
      </c>
      <c r="B35" s="2">
        <f ca="1">IFERROR(__xludf.DUMMYFUNCTION("""COMPUTED_VALUE"""),310920400)</f>
        <v>310920400</v>
      </c>
      <c r="C35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5" s="2">
        <f ca="1">IFERROR(__xludf.DUMMYFUNCTION("""COMPUTED_VALUE"""),117)</f>
        <v>117</v>
      </c>
      <c r="E35" s="2" t="str">
        <f ca="1">IFERROR(__xludf.DUMMYFUNCTION("""COMPUTED_VALUE"""),"Самарқанд электр таъминот дистанцияси (ЭЧ-8)")</f>
        <v>Самарқанд электр таъминот дистанцияси (ЭЧ-8)</v>
      </c>
    </row>
    <row r="36" spans="1:5" ht="45" customHeight="1">
      <c r="A36" s="4">
        <f ca="1">IFERROR(__xludf.DUMMYFUNCTION("""COMPUTED_VALUE"""),1.43999999999999)</f>
        <v>1.43999999999999</v>
      </c>
      <c r="B36" s="2">
        <f ca="1">IFERROR(__xludf.DUMMYFUNCTION("""COMPUTED_VALUE"""),310920400)</f>
        <v>310920400</v>
      </c>
      <c r="C36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6" s="2">
        <f ca="1">IFERROR(__xludf.DUMMYFUNCTION("""COMPUTED_VALUE"""),118)</f>
        <v>118</v>
      </c>
      <c r="E36" s="2" t="str">
        <f ca="1">IFERROR(__xludf.DUMMYFUNCTION("""COMPUTED_VALUE"""),"Самарқанд сигнализация ва алоқа дистанцияси (ШЧ-5)")</f>
        <v>Самарқанд сигнализация ва алоқа дистанцияси (ШЧ-5)</v>
      </c>
    </row>
    <row r="37" spans="1:5" ht="45" customHeight="1">
      <c r="A37" s="4">
        <f ca="1">IFERROR(__xludf.DUMMYFUNCTION("""COMPUTED_VALUE"""),1.44999999999999)</f>
        <v>1.44999999999999</v>
      </c>
      <c r="B37" s="2">
        <f ca="1">IFERROR(__xludf.DUMMYFUNCTION("""COMPUTED_VALUE"""),310920400)</f>
        <v>310920400</v>
      </c>
      <c r="C37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7" s="2">
        <f ca="1">IFERROR(__xludf.DUMMYFUNCTION("""COMPUTED_VALUE"""),119)</f>
        <v>119</v>
      </c>
      <c r="E37" s="2" t="str">
        <f ca="1">IFERROR(__xludf.DUMMYFUNCTION("""COMPUTED_VALUE"""),"Самарқанд темир йўл масофаси (ПЧ-8)")</f>
        <v>Самарқанд темир йўл масофаси (ПЧ-8)</v>
      </c>
    </row>
    <row r="38" spans="1:5" ht="45" customHeight="1">
      <c r="A38" s="4">
        <f ca="1">IFERROR(__xludf.DUMMYFUNCTION("""COMPUTED_VALUE"""),1.45999999999999)</f>
        <v>1.45999999999999</v>
      </c>
      <c r="B38" s="2">
        <f ca="1">IFERROR(__xludf.DUMMYFUNCTION("""COMPUTED_VALUE"""),310920400)</f>
        <v>310920400</v>
      </c>
      <c r="C38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8" s="2">
        <f ca="1">IFERROR(__xludf.DUMMYFUNCTION("""COMPUTED_VALUE"""),120)</f>
        <v>120</v>
      </c>
      <c r="E38" s="2" t="str">
        <f ca="1">IFERROR(__xludf.DUMMYFUNCTION("""COMPUTED_VALUE"""),"Тинчлик локомотив депоси (ТЧ-5)")</f>
        <v>Тинчлик локомотив депоси (ТЧ-5)</v>
      </c>
    </row>
    <row r="39" spans="1:5" ht="45" customHeight="1">
      <c r="A39" s="4">
        <f ca="1">IFERROR(__xludf.DUMMYFUNCTION("""COMPUTED_VALUE"""),1.46999999999999)</f>
        <v>1.46999999999999</v>
      </c>
      <c r="B39" s="2">
        <f ca="1">IFERROR(__xludf.DUMMYFUNCTION("""COMPUTED_VALUE"""),310920400)</f>
        <v>310920400</v>
      </c>
      <c r="C39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39" s="2">
        <f ca="1">IFERROR(__xludf.DUMMYFUNCTION("""COMPUTED_VALUE"""),121)</f>
        <v>121</v>
      </c>
      <c r="E39" s="2" t="str">
        <f ca="1">IFERROR(__xludf.DUMMYFUNCTION("""COMPUTED_VALUE"""),"Учқудуқ темир йўл масофаси (ПЧ-9)")</f>
        <v>Учқудуқ темир йўл масофаси (ПЧ-9)</v>
      </c>
    </row>
    <row r="40" spans="1:5" ht="45" customHeight="1">
      <c r="A40" s="4">
        <f ca="1">IFERROR(__xludf.DUMMYFUNCTION("""COMPUTED_VALUE"""),1.47999999999999)</f>
        <v>1.47999999999999</v>
      </c>
      <c r="B40" s="2">
        <f ca="1">IFERROR(__xludf.DUMMYFUNCTION("""COMPUTED_VALUE"""),310920400)</f>
        <v>310920400</v>
      </c>
      <c r="C40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0" s="2">
        <f ca="1">IFERROR(__xludf.DUMMYFUNCTION("""COMPUTED_VALUE"""),122)</f>
        <v>122</v>
      </c>
      <c r="E40" s="2" t="str">
        <f ca="1">IFERROR(__xludf.DUMMYFUNCTION("""COMPUTED_VALUE"""),"Зиёвуддин темир йўл масофаси (ПЧ-11)")</f>
        <v>Зиёвуддин темир йўл масофаси (ПЧ-11)</v>
      </c>
    </row>
    <row r="41" spans="1:5" ht="45" customHeight="1">
      <c r="A41" s="4">
        <f ca="1">IFERROR(__xludf.DUMMYFUNCTION("""COMPUTED_VALUE"""),1.48999999999999)</f>
        <v>1.48999999999999</v>
      </c>
      <c r="B41" s="2">
        <f ca="1">IFERROR(__xludf.DUMMYFUNCTION("""COMPUTED_VALUE"""),310920400)</f>
        <v>310920400</v>
      </c>
      <c r="C41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1" s="2">
        <f ca="1">IFERROR(__xludf.DUMMYFUNCTION("""COMPUTED_VALUE"""),123)</f>
        <v>123</v>
      </c>
      <c r="E41" s="2" t="str">
        <f ca="1">IFERROR(__xludf.DUMMYFUNCTION("""COMPUTED_VALUE"""),"Навоий сигнализация ва алоқа дистанцияси (ШЧ-6)")</f>
        <v>Навоий сигнализация ва алоқа дистанцияси (ШЧ-6)</v>
      </c>
    </row>
    <row r="42" spans="1:5" ht="45" customHeight="1">
      <c r="A42" s="4">
        <f ca="1">IFERROR(__xludf.DUMMYFUNCTION("""COMPUTED_VALUE"""),1.49999999999999)</f>
        <v>1.49999999999999</v>
      </c>
      <c r="B42" s="2">
        <f ca="1">IFERROR(__xludf.DUMMYFUNCTION("""COMPUTED_VALUE"""),310920400)</f>
        <v>310920400</v>
      </c>
      <c r="C42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2" s="2">
        <f ca="1">IFERROR(__xludf.DUMMYFUNCTION("""COMPUTED_VALUE"""),150)</f>
        <v>150</v>
      </c>
      <c r="E42" s="2" t="str">
        <f ca="1">IFERROR(__xludf.DUMMYFUNCTION("""COMPUTED_VALUE"""),"Бухоро темир йўл машиналарини таъмирлаш устахонаси (ПДМ)")</f>
        <v>Бухоро темир йўл машиналарини таъмирлаш устахонаси (ПДМ)</v>
      </c>
    </row>
    <row r="43" spans="1:5" ht="45" customHeight="1">
      <c r="A43" s="4">
        <f ca="1">IFERROR(__xludf.DUMMYFUNCTION("""COMPUTED_VALUE"""),1.50999999999999)</f>
        <v>1.50999999999999</v>
      </c>
      <c r="B43" s="2">
        <f ca="1">IFERROR(__xludf.DUMMYFUNCTION("""COMPUTED_VALUE"""),310920400)</f>
        <v>310920400</v>
      </c>
      <c r="C43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3" s="2">
        <f ca="1">IFERROR(__xludf.DUMMYFUNCTION("""COMPUTED_VALUE"""),151)</f>
        <v>151</v>
      </c>
      <c r="E43" s="2" t="str">
        <f ca="1">IFERROR(__xludf.DUMMYFUNCTION("""COMPUTED_VALUE"""),"17-сон Бухоро темир йўл машина бекати (ПМС-17)")</f>
        <v>17-сон Бухоро темир йўл машина бекати (ПМС-17)</v>
      </c>
    </row>
    <row r="44" spans="1:5" ht="45" customHeight="1">
      <c r="A44" s="4">
        <f ca="1">IFERROR(__xludf.DUMMYFUNCTION("""COMPUTED_VALUE"""),1.51999999999999)</f>
        <v>1.51999999999999</v>
      </c>
      <c r="B44" s="2">
        <f ca="1">IFERROR(__xludf.DUMMYFUNCTION("""COMPUTED_VALUE"""),310920400)</f>
        <v>310920400</v>
      </c>
      <c r="C44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4" s="2">
        <f ca="1">IFERROR(__xludf.DUMMYFUNCTION("""COMPUTED_VALUE"""),124)</f>
        <v>124</v>
      </c>
      <c r="E44" s="2" t="str">
        <f ca="1">IFERROR(__xludf.DUMMYFUNCTION("""COMPUTED_VALUE"""),"""Кўнгирот минтакавий темир йўл узели"" УК (РЖУ-4, МТУ)")</f>
        <v>"Кўнгирот минтакавий темир йўл узели" УК (РЖУ-4, МТУ)</v>
      </c>
    </row>
    <row r="45" spans="1:5" ht="45" customHeight="1">
      <c r="A45" s="4">
        <f ca="1">IFERROR(__xludf.DUMMYFUNCTION("""COMPUTED_VALUE"""),1.52999999999999)</f>
        <v>1.52999999999999</v>
      </c>
      <c r="B45" s="2">
        <f ca="1">IFERROR(__xludf.DUMMYFUNCTION("""COMPUTED_VALUE"""),310920400)</f>
        <v>310920400</v>
      </c>
      <c r="C45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5" s="2">
        <f ca="1">IFERROR(__xludf.DUMMYFUNCTION("""COMPUTED_VALUE"""),125)</f>
        <v>125</v>
      </c>
      <c r="E45" s="2" t="str">
        <f ca="1">IFERROR(__xludf.DUMMYFUNCTION("""COMPUTED_VALUE"""),"Кўнгирот локомотив депоси (ТЧ-7)")</f>
        <v>Кўнгирот локомотив депоси (ТЧ-7)</v>
      </c>
    </row>
    <row r="46" spans="1:5" ht="45" customHeight="1">
      <c r="A46" s="4">
        <f ca="1">IFERROR(__xludf.DUMMYFUNCTION("""COMPUTED_VALUE"""),1.53999999999999)</f>
        <v>1.53999999999999</v>
      </c>
      <c r="B46" s="2">
        <f ca="1">IFERROR(__xludf.DUMMYFUNCTION("""COMPUTED_VALUE"""),310920400)</f>
        <v>310920400</v>
      </c>
      <c r="C46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6" s="2">
        <f ca="1">IFERROR(__xludf.DUMMYFUNCTION("""COMPUTED_VALUE"""),126)</f>
        <v>126</v>
      </c>
      <c r="E46" s="2" t="str">
        <f ca="1">IFERROR(__xludf.DUMMYFUNCTION("""COMPUTED_VALUE"""),"Кўнгирот темир йўл масофаси (ПЧ-25)")</f>
        <v>Кўнгирот темир йўл масофаси (ПЧ-25)</v>
      </c>
    </row>
    <row r="47" spans="1:5" ht="45" customHeight="1">
      <c r="A47" s="4">
        <f ca="1">IFERROR(__xludf.DUMMYFUNCTION("""COMPUTED_VALUE"""),1.54999999999999)</f>
        <v>1.5499999999999901</v>
      </c>
      <c r="B47" s="2">
        <f ca="1">IFERROR(__xludf.DUMMYFUNCTION("""COMPUTED_VALUE"""),310920400)</f>
        <v>310920400</v>
      </c>
      <c r="C47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7" s="2">
        <f ca="1">IFERROR(__xludf.DUMMYFUNCTION("""COMPUTED_VALUE"""),127)</f>
        <v>127</v>
      </c>
      <c r="E47" s="2" t="str">
        <f ca="1">IFERROR(__xludf.DUMMYFUNCTION("""COMPUTED_VALUE"""),"Қўнғирот сигнализация ва алоқа дистанцияси (ШЧ-11)")</f>
        <v>Қўнғирот сигнализация ва алоқа дистанцияси (ШЧ-11)</v>
      </c>
    </row>
    <row r="48" spans="1:5" ht="45" customHeight="1">
      <c r="A48" s="4">
        <f ca="1">IFERROR(__xludf.DUMMYFUNCTION("""COMPUTED_VALUE"""),1.55999999999999)</f>
        <v>1.5599999999999901</v>
      </c>
      <c r="B48" s="2">
        <f ca="1">IFERROR(__xludf.DUMMYFUNCTION("""COMPUTED_VALUE"""),310920400)</f>
        <v>310920400</v>
      </c>
      <c r="C48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8" s="2">
        <f ca="1">IFERROR(__xludf.DUMMYFUNCTION("""COMPUTED_VALUE"""),128)</f>
        <v>128</v>
      </c>
      <c r="E48" s="2" t="str">
        <f ca="1">IFERROR(__xludf.DUMMYFUNCTION("""COMPUTED_VALUE"""),"Кўнгирот электр таъминот дистанцияси (ЭЧ-10)")</f>
        <v>Кўнгирот электр таъминот дистанцияси (ЭЧ-10)</v>
      </c>
    </row>
    <row r="49" spans="1:5" ht="45" customHeight="1">
      <c r="A49" s="4">
        <f ca="1">IFERROR(__xludf.DUMMYFUNCTION("""COMPUTED_VALUE"""),1.56999999999999)</f>
        <v>1.5699999999999901</v>
      </c>
      <c r="B49" s="2">
        <f ca="1">IFERROR(__xludf.DUMMYFUNCTION("""COMPUTED_VALUE"""),310920400)</f>
        <v>310920400</v>
      </c>
      <c r="C49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49" s="2">
        <f ca="1">IFERROR(__xludf.DUMMYFUNCTION("""COMPUTED_VALUE"""),129)</f>
        <v>129</v>
      </c>
      <c r="E49" s="2" t="str">
        <f ca="1">IFERROR(__xludf.DUMMYFUNCTION("""COMPUTED_VALUE"""),"Кўнгирот темир йўл масофаси (ПЧ-26)")</f>
        <v>Кўнгирот темир йўл масофаси (ПЧ-26)</v>
      </c>
    </row>
    <row r="50" spans="1:5" ht="45" customHeight="1">
      <c r="A50" s="4">
        <f ca="1">IFERROR(__xludf.DUMMYFUNCTION("""COMPUTED_VALUE"""),1.57999999999999)</f>
        <v>1.5799999999999901</v>
      </c>
      <c r="B50" s="2">
        <f ca="1">IFERROR(__xludf.DUMMYFUNCTION("""COMPUTED_VALUE"""),310920400)</f>
        <v>310920400</v>
      </c>
      <c r="C50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0" s="2">
        <f ca="1">IFERROR(__xludf.DUMMYFUNCTION("""COMPUTED_VALUE"""),130)</f>
        <v>130</v>
      </c>
      <c r="E50" s="2" t="str">
        <f ca="1">IFERROR(__xludf.DUMMYFUNCTION("""COMPUTED_VALUE"""),"Ургенч локомотив депоси (ТЧ-10)")</f>
        <v>Ургенч локомотив депоси (ТЧ-10)</v>
      </c>
    </row>
    <row r="51" spans="1:5" ht="45" customHeight="1">
      <c r="A51" s="4">
        <f ca="1">IFERROR(__xludf.DUMMYFUNCTION("""COMPUTED_VALUE"""),1.58999999999999)</f>
        <v>1.5899999999999901</v>
      </c>
      <c r="B51" s="2">
        <f ca="1">IFERROR(__xludf.DUMMYFUNCTION("""COMPUTED_VALUE"""),310920400)</f>
        <v>310920400</v>
      </c>
      <c r="C51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1" s="2">
        <f ca="1">IFERROR(__xludf.DUMMYFUNCTION("""COMPUTED_VALUE"""),131)</f>
        <v>131</v>
      </c>
      <c r="E51" s="2" t="str">
        <f ca="1">IFERROR(__xludf.DUMMYFUNCTION("""COMPUTED_VALUE"""),"Ургенч темир йўл масофаси (ПЧ-18)")</f>
        <v>Ургенч темир йўл масофаси (ПЧ-18)</v>
      </c>
    </row>
    <row r="52" spans="1:5" ht="45" customHeight="1">
      <c r="A52" s="4">
        <f ca="1">IFERROR(__xludf.DUMMYFUNCTION("""COMPUTED_VALUE"""),1.59999999999999)</f>
        <v>1.5999999999999901</v>
      </c>
      <c r="B52" s="2">
        <f ca="1">IFERROR(__xludf.DUMMYFUNCTION("""COMPUTED_VALUE"""),310920400)</f>
        <v>310920400</v>
      </c>
      <c r="C52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2" s="2">
        <f ca="1">IFERROR(__xludf.DUMMYFUNCTION("""COMPUTED_VALUE"""),132)</f>
        <v>132</v>
      </c>
      <c r="E52" s="2" t="str">
        <f ca="1">IFERROR(__xludf.DUMMYFUNCTION("""COMPUTED_VALUE"""),"Ургенч сигнализация ва алока дистанцияси (ШЧ-10)")</f>
        <v>Ургенч сигнализация ва алока дистанцияси (ШЧ-10)</v>
      </c>
    </row>
    <row r="53" spans="1:5" ht="45" customHeight="1">
      <c r="A53" s="4">
        <f ca="1">IFERROR(__xludf.DUMMYFUNCTION("""COMPUTED_VALUE"""),1.60999999999999)</f>
        <v>1.6099999999999901</v>
      </c>
      <c r="B53" s="2">
        <f ca="1">IFERROR(__xludf.DUMMYFUNCTION("""COMPUTED_VALUE"""),310920400)</f>
        <v>310920400</v>
      </c>
      <c r="C53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3" s="2">
        <f ca="1">IFERROR(__xludf.DUMMYFUNCTION("""COMPUTED_VALUE"""),133)</f>
        <v>133</v>
      </c>
      <c r="E53" s="2" t="str">
        <f ca="1">IFERROR(__xludf.DUMMYFUNCTION("""COMPUTED_VALUE"""),"Мискин электр таъминот дистанцияси (ЭЧ-9)")</f>
        <v>Мискин электр таъминот дистанцияси (ЭЧ-9)</v>
      </c>
    </row>
    <row r="54" spans="1:5" ht="45" customHeight="1">
      <c r="A54" s="4">
        <f ca="1">IFERROR(__xludf.DUMMYFUNCTION("""COMPUTED_VALUE"""),1.61999999999999)</f>
        <v>1.6199999999999899</v>
      </c>
      <c r="B54" s="2">
        <f ca="1">IFERROR(__xludf.DUMMYFUNCTION("""COMPUTED_VALUE"""),310920400)</f>
        <v>310920400</v>
      </c>
      <c r="C54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4" s="2">
        <f ca="1">IFERROR(__xludf.DUMMYFUNCTION("""COMPUTED_VALUE"""),152)</f>
        <v>152</v>
      </c>
      <c r="E54" s="2" t="str">
        <f ca="1">IFERROR(__xludf.DUMMYFUNCTION("""COMPUTED_VALUE"""),"279-сон Кўнгирот темир йўл машина бекати (ПМС-279)")</f>
        <v>279-сон Кўнгирот темир йўл машина бекати (ПМС-279)</v>
      </c>
    </row>
    <row r="55" spans="1:5" ht="45" customHeight="1">
      <c r="A55" s="4">
        <f ca="1">IFERROR(__xludf.DUMMYFUNCTION("""COMPUTED_VALUE"""),1.62999999999999)</f>
        <v>1.6299999999999899</v>
      </c>
      <c r="B55" s="2">
        <f ca="1">IFERROR(__xludf.DUMMYFUNCTION("""COMPUTED_VALUE"""),310920400)</f>
        <v>310920400</v>
      </c>
      <c r="C55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5" s="2">
        <f ca="1">IFERROR(__xludf.DUMMYFUNCTION("""COMPUTED_VALUE"""),135)</f>
        <v>135</v>
      </c>
      <c r="E55" s="2" t="str">
        <f ca="1">IFERROR(__xludf.DUMMYFUNCTION("""COMPUTED_VALUE"""),"""Карши минтакавий темир йўл узели"" филиали (РЖУ Карши, МТУ)")</f>
        <v>"Карши минтакавий темир йўл узели" филиали (РЖУ Карши, МТУ)</v>
      </c>
    </row>
    <row r="56" spans="1:5" ht="45" customHeight="1">
      <c r="A56" s="4">
        <f ca="1">IFERROR(__xludf.DUMMYFUNCTION("""COMPUTED_VALUE"""),1.63999999999999)</f>
        <v>1.6399999999999899</v>
      </c>
      <c r="B56" s="2">
        <f ca="1">IFERROR(__xludf.DUMMYFUNCTION("""COMPUTED_VALUE"""),310920400)</f>
        <v>310920400</v>
      </c>
      <c r="C56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6" s="2">
        <f ca="1">IFERROR(__xludf.DUMMYFUNCTION("""COMPUTED_VALUE"""),136)</f>
        <v>136</v>
      </c>
      <c r="E56" s="2" t="str">
        <f ca="1">IFERROR(__xludf.DUMMYFUNCTION("""COMPUTED_VALUE"""),"Қарши локомотив депоси (ТЧ-8)")</f>
        <v>Қарши локомотив депоси (ТЧ-8)</v>
      </c>
    </row>
    <row r="57" spans="1:5" ht="45" customHeight="1">
      <c r="A57" s="4">
        <f ca="1">IFERROR(__xludf.DUMMYFUNCTION("""COMPUTED_VALUE"""),1.64999999999999)</f>
        <v>1.6499999999999899</v>
      </c>
      <c r="B57" s="2">
        <f ca="1">IFERROR(__xludf.DUMMYFUNCTION("""COMPUTED_VALUE"""),310920400)</f>
        <v>310920400</v>
      </c>
      <c r="C57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7" s="2">
        <f ca="1">IFERROR(__xludf.DUMMYFUNCTION("""COMPUTED_VALUE"""),72)</f>
        <v>72</v>
      </c>
      <c r="E57" s="2" t="str">
        <f ca="1">IFERROR(__xludf.DUMMYFUNCTION("""COMPUTED_VALUE"""),"Қарши темир йўл масофаси (ПЧ-12)")</f>
        <v>Қарши темир йўл масофаси (ПЧ-12)</v>
      </c>
    </row>
    <row r="58" spans="1:5" ht="45" customHeight="1">
      <c r="A58" s="4">
        <f ca="1">IFERROR(__xludf.DUMMYFUNCTION("""COMPUTED_VALUE"""),1.65999999999999)</f>
        <v>1.6599999999999899</v>
      </c>
      <c r="B58" s="2">
        <f ca="1">IFERROR(__xludf.DUMMYFUNCTION("""COMPUTED_VALUE"""),310920400)</f>
        <v>310920400</v>
      </c>
      <c r="C58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8" s="2">
        <f ca="1">IFERROR(__xludf.DUMMYFUNCTION("""COMPUTED_VALUE"""),139)</f>
        <v>139</v>
      </c>
      <c r="E58" s="2" t="str">
        <f ca="1">IFERROR(__xludf.DUMMYFUNCTION("""COMPUTED_VALUE"""),"Қарши сигнализация ва алоқа дистанцияси (ШЧ-8)")</f>
        <v>Қарши сигнализация ва алоқа дистанцияси (ШЧ-8)</v>
      </c>
    </row>
    <row r="59" spans="1:5" ht="45" customHeight="1">
      <c r="A59" s="4">
        <f ca="1">IFERROR(__xludf.DUMMYFUNCTION("""COMPUTED_VALUE"""),1.66999999999999)</f>
        <v>1.6699999999999899</v>
      </c>
      <c r="B59" s="2">
        <f ca="1">IFERROR(__xludf.DUMMYFUNCTION("""COMPUTED_VALUE"""),310920400)</f>
        <v>310920400</v>
      </c>
      <c r="C59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59" s="2">
        <f ca="1">IFERROR(__xludf.DUMMYFUNCTION("""COMPUTED_VALUE"""),140)</f>
        <v>140</v>
      </c>
      <c r="E59" s="2" t="str">
        <f ca="1">IFERROR(__xludf.DUMMYFUNCTION("""COMPUTED_VALUE"""),"Қарши электр таъминот дистанцияси (ЭЧ-5)")</f>
        <v>Қарши электр таъминот дистанцияси (ЭЧ-5)</v>
      </c>
    </row>
    <row r="60" spans="1:5" ht="45" customHeight="1">
      <c r="A60" s="4">
        <f ca="1">IFERROR(__xludf.DUMMYFUNCTION("""COMPUTED_VALUE"""),1.67999999999999)</f>
        <v>1.6799999999999899</v>
      </c>
      <c r="B60" s="2">
        <f ca="1">IFERROR(__xludf.DUMMYFUNCTION("""COMPUTED_VALUE"""),310920400)</f>
        <v>310920400</v>
      </c>
      <c r="C60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0" s="2">
        <f ca="1">IFERROR(__xludf.DUMMYFUNCTION("""COMPUTED_VALUE"""),141)</f>
        <v>141</v>
      </c>
      <c r="E60" s="2" t="str">
        <f ca="1">IFERROR(__xludf.DUMMYFUNCTION("""COMPUTED_VALUE"""),"Қашқадарё темир йўл масофаси (ПЧ-14)")</f>
        <v>Қашқадарё темир йўл масофаси (ПЧ-14)</v>
      </c>
    </row>
    <row r="61" spans="1:5" ht="45" customHeight="1">
      <c r="A61" s="4">
        <f ca="1">IFERROR(__xludf.DUMMYFUNCTION("""COMPUTED_VALUE"""),1.68999999999999)</f>
        <v>1.68999999999999</v>
      </c>
      <c r="B61" s="2">
        <f ca="1">IFERROR(__xludf.DUMMYFUNCTION("""COMPUTED_VALUE"""),310920400)</f>
        <v>310920400</v>
      </c>
      <c r="C61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1" s="2">
        <f ca="1">IFERROR(__xludf.DUMMYFUNCTION("""COMPUTED_VALUE"""),153)</f>
        <v>153</v>
      </c>
      <c r="E61" s="2" t="str">
        <f ca="1">IFERROR(__xludf.DUMMYFUNCTION("""COMPUTED_VALUE"""),"214-сон Танхоз темир йўл машина бекати (ПМС-214)")</f>
        <v>214-сон Танхоз темир йўл машина бекати (ПМС-214)</v>
      </c>
    </row>
    <row r="62" spans="1:5" ht="45" customHeight="1">
      <c r="A62" s="4">
        <f ca="1">IFERROR(__xludf.DUMMYFUNCTION("""COMPUTED_VALUE"""),1.69999999999999)</f>
        <v>1.69999999999999</v>
      </c>
      <c r="B62" s="2">
        <f ca="1">IFERROR(__xludf.DUMMYFUNCTION("""COMPUTED_VALUE"""),310920400)</f>
        <v>310920400</v>
      </c>
      <c r="C62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2" s="2">
        <f ca="1">IFERROR(__xludf.DUMMYFUNCTION("""COMPUTED_VALUE"""),142)</f>
        <v>142</v>
      </c>
      <c r="E62" s="2" t="str">
        <f ca="1">IFERROR(__xludf.DUMMYFUNCTION("""COMPUTED_VALUE"""),"""Термиз минтакавий темир йўл узели"" филиали (РЖУ Термиз, МТУ)")</f>
        <v>"Термиз минтакавий темир йўл узели" филиали (РЖУ Термиз, МТУ)</v>
      </c>
    </row>
    <row r="63" spans="1:5" ht="45" customHeight="1">
      <c r="A63" s="4">
        <f ca="1">IFERROR(__xludf.DUMMYFUNCTION("""COMPUTED_VALUE"""),1.70999999999999)</f>
        <v>1.70999999999999</v>
      </c>
      <c r="B63" s="2">
        <f ca="1">IFERROR(__xludf.DUMMYFUNCTION("""COMPUTED_VALUE"""),310920400)</f>
        <v>310920400</v>
      </c>
      <c r="C63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3" s="2">
        <f ca="1">IFERROR(__xludf.DUMMYFUNCTION("""COMPUTED_VALUE"""),143)</f>
        <v>143</v>
      </c>
      <c r="E63" s="2" t="str">
        <f ca="1">IFERROR(__xludf.DUMMYFUNCTION("""COMPUTED_VALUE"""),"Термиз сигнализация ва алока дистанцияси (ШЧ-9)")</f>
        <v>Термиз сигнализация ва алока дистанцияси (ШЧ-9)</v>
      </c>
    </row>
    <row r="64" spans="1:5" ht="45" customHeight="1">
      <c r="A64" s="4">
        <f ca="1">IFERROR(__xludf.DUMMYFUNCTION("""COMPUTED_VALUE"""),1.71999999999999)</f>
        <v>1.71999999999999</v>
      </c>
      <c r="B64" s="2">
        <f ca="1">IFERROR(__xludf.DUMMYFUNCTION("""COMPUTED_VALUE"""),310920400)</f>
        <v>310920400</v>
      </c>
      <c r="C64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4" s="2">
        <f ca="1">IFERROR(__xludf.DUMMYFUNCTION("""COMPUTED_VALUE"""),144)</f>
        <v>144</v>
      </c>
      <c r="E64" s="2" t="str">
        <f ca="1">IFERROR(__xludf.DUMMYFUNCTION("""COMPUTED_VALUE"""),"Термиз локомотив депоси (ТЧ-9)")</f>
        <v>Термиз локомотив депоси (ТЧ-9)</v>
      </c>
    </row>
    <row r="65" spans="1:5" ht="45" customHeight="1">
      <c r="A65" s="4">
        <f ca="1">IFERROR(__xludf.DUMMYFUNCTION("""COMPUTED_VALUE"""),1.72999999999999)</f>
        <v>1.72999999999999</v>
      </c>
      <c r="B65" s="2">
        <f ca="1">IFERROR(__xludf.DUMMYFUNCTION("""COMPUTED_VALUE"""),310920400)</f>
        <v>310920400</v>
      </c>
      <c r="C65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5" s="2">
        <f ca="1">IFERROR(__xludf.DUMMYFUNCTION("""COMPUTED_VALUE"""),145)</f>
        <v>145</v>
      </c>
      <c r="E65" s="2" t="str">
        <f ca="1">IFERROR(__xludf.DUMMYFUNCTION("""COMPUTED_VALUE"""),"Термиз темир йўл масофаси (ПЧ-13)")</f>
        <v>Термиз темир йўл масофаси (ПЧ-13)</v>
      </c>
    </row>
    <row r="66" spans="1:5" ht="45" customHeight="1">
      <c r="A66" s="5">
        <f ca="1">IFERROR(__xludf.DUMMYFUNCTION("""COMPUTED_VALUE"""),1.73999999999999)</f>
        <v>1.73999999999999</v>
      </c>
      <c r="B66" s="2">
        <f ca="1">IFERROR(__xludf.DUMMYFUNCTION("""COMPUTED_VALUE"""),310920400)</f>
        <v>310920400</v>
      </c>
      <c r="C66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6" s="2">
        <f ca="1">IFERROR(__xludf.DUMMYFUNCTION("""COMPUTED_VALUE"""),146)</f>
        <v>146</v>
      </c>
      <c r="E66" s="2" t="str">
        <f ca="1">IFERROR(__xludf.DUMMYFUNCTION("""COMPUTED_VALUE"""),"Дарбанд темир йўл масофаси (ПЧ-15)")</f>
        <v>Дарбанд темир йўл масофаси (ПЧ-15)</v>
      </c>
    </row>
    <row r="67" spans="1:5" ht="45" customHeight="1">
      <c r="A67" s="4">
        <f ca="1">IFERROR(__xludf.DUMMYFUNCTION("""COMPUTED_VALUE"""),1.74999999999999)</f>
        <v>1.74999999999999</v>
      </c>
      <c r="B67" s="2">
        <f ca="1">IFERROR(__xludf.DUMMYFUNCTION("""COMPUTED_VALUE"""),310920400)</f>
        <v>310920400</v>
      </c>
      <c r="C67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7" s="2">
        <f ca="1">IFERROR(__xludf.DUMMYFUNCTION("""COMPUTED_VALUE"""),147)</f>
        <v>147</v>
      </c>
      <c r="E67" s="2" t="str">
        <f ca="1">IFERROR(__xludf.DUMMYFUNCTION("""COMPUTED_VALUE"""),"Термиз электр таъминот дистанцияси (ЭЧ-7)")</f>
        <v>Термиз электр таъминот дистанцияси (ЭЧ-7)</v>
      </c>
    </row>
    <row r="68" spans="1:5" ht="45" customHeight="1">
      <c r="A68" s="4">
        <f ca="1">IFERROR(__xludf.DUMMYFUNCTION("""COMPUTED_VALUE"""),1.75999999999999)</f>
        <v>1.75999999999999</v>
      </c>
      <c r="B68" s="2">
        <f ca="1">IFERROR(__xludf.DUMMYFUNCTION("""COMPUTED_VALUE"""),310920400)</f>
        <v>310920400</v>
      </c>
      <c r="C68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8" s="2">
        <f ca="1">IFERROR(__xludf.DUMMYFUNCTION("""COMPUTED_VALUE"""),154)</f>
        <v>154</v>
      </c>
      <c r="E68" s="2" t="str">
        <f ca="1">IFERROR(__xludf.DUMMYFUNCTION("""COMPUTED_VALUE"""),"166-сон Хайробод темир йўл машина бекати (ПМС-166)")</f>
        <v>166-сон Хайробод темир йўл машина бекати (ПМС-166)</v>
      </c>
    </row>
    <row r="69" spans="1:5" ht="45" customHeight="1">
      <c r="A69" s="4">
        <f ca="1">IFERROR(__xludf.DUMMYFUNCTION("""COMPUTED_VALUE"""),1.76999999999999)</f>
        <v>1.76999999999999</v>
      </c>
      <c r="B69" s="2">
        <f ca="1">IFERROR(__xludf.DUMMYFUNCTION("""COMPUTED_VALUE"""),310920400)</f>
        <v>310920400</v>
      </c>
      <c r="C69" s="2" t="str">
        <f ca="1">IFERROR(__xludf.DUMMYFUNCTION("""COMPUTED_VALUE"""),"""TEMIRYO‘LINFRATUZILMA"" AJ (""Темирйўлинфратузилма"" АЖ)")</f>
        <v>"TEMIRYO‘LINFRATUZILMA" AJ ("Темирйўлинфратузилма" АЖ)</v>
      </c>
      <c r="D69" s="2">
        <f ca="1">IFERROR(__xludf.DUMMYFUNCTION("""COMPUTED_VALUE"""),74)</f>
        <v>74</v>
      </c>
      <c r="E69" s="2" t="str">
        <f ca="1">IFERROR(__xludf.DUMMYFUNCTION("""COMPUTED_VALUE"""),"Қорлитоғ темирйул масофаси (ПЧ-16)")</f>
        <v>Қорлитоғ темирйул масофаси (ПЧ-16)</v>
      </c>
    </row>
    <row r="70" spans="1:5" ht="45" customHeight="1">
      <c r="A70" s="6"/>
      <c r="B70" s="3"/>
      <c r="C70" s="3"/>
      <c r="D70" s="3"/>
      <c r="E70" s="3"/>
    </row>
    <row r="71" spans="1:5" ht="45" customHeight="1">
      <c r="A71" s="4">
        <f ca="1">IFERROR(__xludf.DUMMYFUNCTION("""COMPUTED_VALUE"""),1.78)</f>
        <v>1.78</v>
      </c>
      <c r="B71" s="2">
        <f ca="1">IFERROR(__xludf.DUMMYFUNCTION("""COMPUTED_VALUE"""),311323145)</f>
        <v>311323145</v>
      </c>
      <c r="C71" s="2" t="str">
        <f ca="1">IFERROR(__xludf.DUMMYFUNCTION("""COMPUTED_VALUE"""),"""TEMIR YO‘L INFRA TUZILMA"" MCHJ (Темирйулинфратузилма МЧЖ)")</f>
        <v>"TEMIR YO‘L INFRA TUZILMA" MCHJ (Темирйулинфратузилма МЧЖ)</v>
      </c>
      <c r="D71" s="2">
        <f ca="1">IFERROR(__xludf.DUMMYFUNCTION("""COMPUTED_VALUE"""),8)</f>
        <v>8</v>
      </c>
      <c r="E71" s="2" t="str">
        <f ca="1">IFERROR(__xludf.DUMMYFUNCTION("""COMPUTED_VALUE"""),"""O`zbekiston"" lokomotiv deposi  (Ўзбекистон локомотив депоси , Локомотивное депо Узбекистан ,ТЧ-1) ")</f>
        <v xml:space="preserve">"O`zbekiston" lokomotiv deposi  (Ўзбекистон локомотив депоси , Локомотивное депо Узбекистан ,ТЧ-1) </v>
      </c>
    </row>
    <row r="72" spans="1:5" ht="45" customHeight="1">
      <c r="A72" s="4">
        <f ca="1">IFERROR(__xludf.DUMMYFUNCTION("""COMPUTED_VALUE"""),1.79)</f>
        <v>1.79</v>
      </c>
      <c r="B72" s="2">
        <f ca="1">IFERROR(__xludf.DUMMYFUNCTION("""COMPUTED_VALUE"""),311323145)</f>
        <v>311323145</v>
      </c>
      <c r="C72" s="2" t="str">
        <f ca="1">IFERROR(__xludf.DUMMYFUNCTION("""COMPUTED_VALUE"""),"""TEMIR YO‘L INFRA TUZILMA"" MCHJ (Темирйулинфратузилма МЧЖ)")</f>
        <v>"TEMIR YO‘L INFRA TUZILMA" MCHJ (Темирйулинфратузилма МЧЖ)</v>
      </c>
      <c r="D72" s="2">
        <f ca="1">IFERROR(__xludf.DUMMYFUNCTION("""COMPUTED_VALUE"""),9)</f>
        <v>9</v>
      </c>
      <c r="E72" s="2" t="str">
        <f ca="1">IFERROR(__xludf.DUMMYFUNCTION("""COMPUTED_VALUE"""),"Xarbiylashtirilgan qo`riqlash boshqarmasi (Харбийлаштирилган куриклаш бошкармаси ВОХР)")</f>
        <v>Xarbiylashtirilgan qo`riqlash boshqarmasi (Харбийлаштирилган куриклаш бошкармаси ВОХР)</v>
      </c>
    </row>
    <row r="73" spans="1:5" ht="45" customHeight="1">
      <c r="A73" s="4">
        <f ca="1">IFERROR(__xludf.DUMMYFUNCTION("""COMPUTED_VALUE"""),1.8)</f>
        <v>1.8</v>
      </c>
      <c r="B73" s="2">
        <f ca="1">IFERROR(__xludf.DUMMYFUNCTION("""COMPUTED_VALUE"""),311323145)</f>
        <v>311323145</v>
      </c>
      <c r="C73" s="2" t="str">
        <f ca="1">IFERROR(__xludf.DUMMYFUNCTION("""COMPUTED_VALUE"""),"""TEMIR YO‘L INFRA TUZILMA"" MCHJ (Темирйулинфратузилма МЧЖ)")</f>
        <v>"TEMIR YO‘L INFRA TUZILMA" MCHJ (Темирйулинфратузилма МЧЖ)</v>
      </c>
      <c r="D73" s="2">
        <f ca="1">IFERROR(__xludf.DUMMYFUNCTION("""COMPUTED_VALUE"""),10)</f>
        <v>10</v>
      </c>
      <c r="E73" s="2" t="str">
        <f ca="1">IFERROR(__xludf.DUMMYFUNCTION("""COMPUTED_VALUE"""),"""TEMIR YO‘L INFRA TUZILMA"" MCHJ БОШКАРМАСИ (Темирйулинфратузилма МЧЖ)Бошкармаси")</f>
        <v>"TEMIR YO‘L INFRA TUZILMA" MCHJ БОШКАРМАСИ (Темирйулинфратузилма МЧЖ)Бошкармаси</v>
      </c>
    </row>
    <row r="74" spans="1:5" ht="45" customHeight="1">
      <c r="A74" s="7"/>
      <c r="B74" s="3"/>
      <c r="C74" s="3"/>
      <c r="D74" s="3"/>
      <c r="E74" s="3"/>
    </row>
    <row r="75" spans="1:5" ht="45" customHeight="1">
      <c r="A75" s="4">
        <f ca="1">IFERROR(__xludf.DUMMYFUNCTION("""COMPUTED_VALUE"""),2.11)</f>
        <v>2.11</v>
      </c>
      <c r="B75" s="2">
        <f ca="1">IFERROR(__xludf.DUMMYFUNCTION("""COMPUTED_VALUE"""),201051951)</f>
        <v>201051951</v>
      </c>
      <c r="C75" s="2" t="str">
        <f ca="1">IFERROR(__xludf.DUMMYFUNCTION("""COMPUTED_VALUE"""),"""O`ZBEKISTON TEMIR YO`LLARI"" AJ")</f>
        <v>"O`ZBEKISTON TEMIR YO`LLARI" AJ</v>
      </c>
      <c r="D75" s="2">
        <f ca="1">IFERROR(__xludf.DUMMYFUNCTION("""COMPUTED_VALUE"""),186)</f>
        <v>186</v>
      </c>
      <c r="E75" s="2" t="str">
        <f ca="1">IFERROR(__xludf.DUMMYFUNCTION("""COMPUTED_VALUE"""),"""VAGON XO`JALIGI"" BOSHQARMASI (ВАГОН ХЎЖАЛИГИ БОШҚАРМАСИ)")</f>
        <v>"VAGON XO`JALIGI" BOSHQARMASI (ВАГОН ХЎЖАЛИГИ БОШҚАРМАСИ)</v>
      </c>
    </row>
    <row r="76" spans="1:5" ht="45" customHeight="1">
      <c r="A76" s="4">
        <f ca="1">IFERROR(__xludf.DUMMYFUNCTION("""COMPUTED_VALUE"""),2.12)</f>
        <v>2.12</v>
      </c>
      <c r="B76" s="2">
        <f ca="1">IFERROR(__xludf.DUMMYFUNCTION("""COMPUTED_VALUE"""),201051951)</f>
        <v>201051951</v>
      </c>
      <c r="C76" s="2" t="str">
        <f ca="1">IFERROR(__xludf.DUMMYFUNCTION("""COMPUTED_VALUE"""),"O`ZBEKISTON TEMIR YO`LLARI AJ")</f>
        <v>O`ZBEKISTON TEMIR YO`LLARI AJ</v>
      </c>
      <c r="D76" s="2">
        <f ca="1">IFERROR(__xludf.DUMMYFUNCTION("""COMPUTED_VALUE"""),187)</f>
        <v>187</v>
      </c>
      <c r="E76" s="2" t="str">
        <f ca="1">IFERROR(__xludf.DUMMYFUNCTION("""COMPUTED_VALUE"""),"""VAGON XO`JALIGI"" BOSHQARMASI TOSHKENT VAGON DEPOSI (Тошкент вагон депоси , ВЧД-1)")</f>
        <v>"VAGON XO`JALIGI" BOSHQARMASI TOSHKENT VAGON DEPOSI (Тошкент вагон депоси , ВЧД-1)</v>
      </c>
    </row>
    <row r="77" spans="1:5" ht="45" customHeight="1">
      <c r="A77" s="4">
        <f ca="1">IFERROR(__xludf.DUMMYFUNCTION("""COMPUTED_VALUE"""),2.13)</f>
        <v>2.13</v>
      </c>
      <c r="B77" s="2">
        <f ca="1">IFERROR(__xludf.DUMMYFUNCTION("""COMPUTED_VALUE"""),201051951)</f>
        <v>201051951</v>
      </c>
      <c r="C77" s="2" t="str">
        <f ca="1">IFERROR(__xludf.DUMMYFUNCTION("""COMPUTED_VALUE"""),"O`ZBEKISTON TEMIR YO`LLARI AJ")</f>
        <v>O`ZBEKISTON TEMIR YO`LLARI AJ</v>
      </c>
      <c r="D77" s="2">
        <f ca="1">IFERROR(__xludf.DUMMYFUNCTION("""COMPUTED_VALUE"""),185)</f>
        <v>185</v>
      </c>
      <c r="E77" s="2" t="str">
        <f ca="1">IFERROR(__xludf.DUMMYFUNCTION("""COMPUTED_VALUE"""),"""VAGON XO`JALIGI"" BOSHQARMASI Бухоро вагон депоси (ВЧД-7) ИНН 203791101")</f>
        <v>"VAGON XO`JALIGI" BOSHQARMASI Бухоро вагон депоси (ВЧД-7) ИНН 203791101</v>
      </c>
    </row>
    <row r="78" spans="1:5" ht="45" customHeight="1">
      <c r="A78" s="4">
        <f ca="1">IFERROR(__xludf.DUMMYFUNCTION("""COMPUTED_VALUE"""),2.14)</f>
        <v>2.14</v>
      </c>
      <c r="B78" s="2">
        <f ca="1">IFERROR(__xludf.DUMMYFUNCTION("""COMPUTED_VALUE"""),201051951)</f>
        <v>201051951</v>
      </c>
      <c r="C78" s="2" t="str">
        <f ca="1">IFERROR(__xludf.DUMMYFUNCTION("""COMPUTED_VALUE"""),"O`ZBEKISTON TEMIR YO`LLARI AJ")</f>
        <v>O`ZBEKISTON TEMIR YO`LLARI AJ</v>
      </c>
      <c r="D78" s="2">
        <f ca="1">IFERROR(__xludf.DUMMYFUNCTION("""COMPUTED_VALUE"""),184)</f>
        <v>184</v>
      </c>
      <c r="E78" s="2" t="str">
        <f ca="1">IFERROR(__xludf.DUMMYFUNCTION("""COMPUTED_VALUE"""),"""VAGON XO`JALIGI"" BOSHQARMASI Термиз вагон депоси (ВЧД-16) ИНН 207108914")</f>
        <v>"VAGON XO`JALIGI" BOSHQARMASI Термиз вагон депоси (ВЧД-16) ИНН 207108914</v>
      </c>
    </row>
    <row r="79" spans="1:5" ht="45" customHeight="1">
      <c r="A79" s="4">
        <f ca="1">IFERROR(__xludf.DUMMYFUNCTION("""COMPUTED_VALUE"""),2.15)</f>
        <v>2.15</v>
      </c>
      <c r="B79" s="2">
        <f ca="1">IFERROR(__xludf.DUMMYFUNCTION("""COMPUTED_VALUE"""),201051951)</f>
        <v>201051951</v>
      </c>
      <c r="C79" s="2" t="str">
        <f ca="1">IFERROR(__xludf.DUMMYFUNCTION("""COMPUTED_VALUE"""),"O`ZBEKISTON TEMIR YO`LLARI AJ")</f>
        <v>O`ZBEKISTON TEMIR YO`LLARI AJ</v>
      </c>
      <c r="D79" s="2">
        <f ca="1">IFERROR(__xludf.DUMMYFUNCTION("""COMPUTED_VALUE"""),183)</f>
        <v>183</v>
      </c>
      <c r="E79" s="2" t="str">
        <f ca="1">IFERROR(__xludf.DUMMYFUNCTION("""COMPUTED_VALUE"""),"""VAGON XO`JALIGI"" BOSHQARMASI Қўнғирот вагон депоси (ВЧД-14) ИНН 207112879")</f>
        <v>"VAGON XO`JALIGI" BOSHQARMASI Қўнғирот вагон депоси (ВЧД-14) ИНН 207112879</v>
      </c>
    </row>
    <row r="80" spans="1:5" ht="45" customHeight="1">
      <c r="A80" s="4">
        <f ca="1">IFERROR(__xludf.DUMMYFUNCTION("""COMPUTED_VALUE"""),2.16)</f>
        <v>2.16</v>
      </c>
      <c r="B80" s="2">
        <f ca="1">IFERROR(__xludf.DUMMYFUNCTION("""COMPUTED_VALUE"""),201051951)</f>
        <v>201051951</v>
      </c>
      <c r="C80" s="2" t="str">
        <f ca="1">IFERROR(__xludf.DUMMYFUNCTION("""COMPUTED_VALUE"""),"O`ZBEKISTON TEMIR YO`LLARI AJ")</f>
        <v>O`ZBEKISTON TEMIR YO`LLARI AJ</v>
      </c>
      <c r="D80" s="2">
        <f ca="1">IFERROR(__xludf.DUMMYFUNCTION("""COMPUTED_VALUE"""),182)</f>
        <v>182</v>
      </c>
      <c r="E80" s="2" t="str">
        <f ca="1">IFERROR(__xludf.DUMMYFUNCTION("""COMPUTED_VALUE"""),"""VAGON XO`JALIGI"" BOSHQARMASI Қарши вагон депоси (ВЧД-8) ИНН 207228701")</f>
        <v>"VAGON XO`JALIGI" BOSHQARMASI Қарши вагон депоси (ВЧД-8) ИНН 207228701</v>
      </c>
    </row>
    <row r="81" spans="1:5" ht="45" customHeight="1">
      <c r="A81" s="4">
        <f ca="1">IFERROR(__xludf.DUMMYFUNCTION("""COMPUTED_VALUE"""),2.17)</f>
        <v>2.17</v>
      </c>
      <c r="B81" s="2">
        <f ca="1">IFERROR(__xludf.DUMMYFUNCTION("""COMPUTED_VALUE"""),201051951)</f>
        <v>201051951</v>
      </c>
      <c r="C81" s="2" t="str">
        <f ca="1">IFERROR(__xludf.DUMMYFUNCTION("""COMPUTED_VALUE"""),"O`ZBEKISTON TEMIR YO`LLARI AJ")</f>
        <v>O`ZBEKISTON TEMIR YO`LLARI AJ</v>
      </c>
      <c r="D81" s="2">
        <f ca="1">IFERROR(__xludf.DUMMYFUNCTION("""COMPUTED_VALUE"""),181)</f>
        <v>181</v>
      </c>
      <c r="E81" s="2" t="str">
        <f ca="1">IFERROR(__xludf.DUMMYFUNCTION("""COMPUTED_VALUE"""),"""VAGON XO`JALIGI"" BOSHQARMASI Қўқон вагон депоси (ВЧД-4) ИНН 200127777")</f>
        <v>"VAGON XO`JALIGI" BOSHQARMASI Қўқон вагон депоси (ВЧД-4) ИНН 200127777</v>
      </c>
    </row>
    <row r="82" spans="1:5" ht="45" customHeight="1">
      <c r="A82" s="7"/>
      <c r="B82" s="3"/>
      <c r="C82" s="3"/>
      <c r="D82" s="3"/>
      <c r="E82" s="3"/>
    </row>
    <row r="83" spans="1:5" ht="45" customHeight="1">
      <c r="A83" s="4">
        <f ca="1">IFERROR(__xludf.DUMMYFUNCTION("""COMPUTED_VALUE"""),3.11)</f>
        <v>3.11</v>
      </c>
      <c r="B83" s="2">
        <f ca="1">IFERROR(__xludf.DUMMYFUNCTION("""COMPUTED_VALUE"""),203661294)</f>
        <v>203661294</v>
      </c>
      <c r="C83" s="2" t="str">
        <f ca="1">IFERROR(__xludf.DUMMYFUNCTION("""COMPUTED_VALUE"""),"""O`ZVAGONTA`MIR"" AJ")</f>
        <v>"O`ZVAGONTA`MIR" AJ</v>
      </c>
      <c r="D83" s="2">
        <f ca="1">IFERROR(__xludf.DUMMYFUNCTION("""COMPUTED_VALUE"""),3)</f>
        <v>3</v>
      </c>
      <c r="E83" s="2" t="str">
        <f ca="1">IFERROR(__xludf.DUMMYFUNCTION("""COMPUTED_VALUE"""),"""O`ZVAGONTA`MIR"" AJ")</f>
        <v>"O`ZVAGONTA`MIR" AJ</v>
      </c>
    </row>
    <row r="84" spans="1:5" ht="45" customHeight="1">
      <c r="A84" s="4">
        <f ca="1">IFERROR(__xludf.DUMMYFUNCTION("""COMPUTED_VALUE"""),3.12)</f>
        <v>3.12</v>
      </c>
      <c r="B84" s="2">
        <f ca="1">IFERROR(__xludf.DUMMYFUNCTION("""COMPUTED_VALUE"""),203661294)</f>
        <v>203661294</v>
      </c>
      <c r="C84" s="2" t="str">
        <f ca="1">IFERROR(__xludf.DUMMYFUNCTION("""COMPUTED_VALUE"""),"""O`ZVAGONTA`MIR"" AJ")</f>
        <v>"O`ZVAGONTA`MIR" AJ</v>
      </c>
      <c r="D84" s="2">
        <f ca="1">IFERROR(__xludf.DUMMYFUNCTION("""COMPUTED_VALUE"""),3)</f>
        <v>3</v>
      </c>
      <c r="E84" s="2" t="str">
        <f ca="1">IFERROR(__xludf.DUMMYFUNCTION("""COMPUTED_VALUE"""),"ВЧД-3 Хаваст (Ховос вагон депоси)")</f>
        <v>ВЧД-3 Хаваст (Ховос вагон депоси)</v>
      </c>
    </row>
    <row r="85" spans="1:5" ht="45" customHeight="1">
      <c r="A85" s="4">
        <f ca="1">IFERROR(__xludf.DUMMYFUNCTION("""COMPUTED_VALUE"""),3.13)</f>
        <v>3.13</v>
      </c>
      <c r="B85" s="2">
        <f ca="1">IFERROR(__xludf.DUMMYFUNCTION("""COMPUTED_VALUE"""),203661294)</f>
        <v>203661294</v>
      </c>
      <c r="C85" s="2" t="str">
        <f ca="1">IFERROR(__xludf.DUMMYFUNCTION("""COMPUTED_VALUE"""),"""O`ZVAGONTA`MIR"" AJ")</f>
        <v>"O`ZVAGONTA`MIR" AJ</v>
      </c>
      <c r="D85" s="2">
        <f ca="1">IFERROR(__xludf.DUMMYFUNCTION("""COMPUTED_VALUE"""),2)</f>
        <v>2</v>
      </c>
      <c r="E85" s="2" t="str">
        <f ca="1">IFERROR(__xludf.DUMMYFUNCTION("""COMPUTED_VALUE"""),"ВЧД-6 Самарканд (Самарканд вагон депоси)")</f>
        <v>ВЧД-6 Самарканд (Самарканд вагон депоси)</v>
      </c>
    </row>
    <row r="86" spans="1:5" ht="45" customHeight="1">
      <c r="A86" s="4">
        <f ca="1">IFERROR(__xludf.DUMMYFUNCTION("""COMPUTED_VALUE"""),3.14)</f>
        <v>3.14</v>
      </c>
      <c r="B86" s="2">
        <f ca="1">IFERROR(__xludf.DUMMYFUNCTION("""COMPUTED_VALUE"""),203661294)</f>
        <v>203661294</v>
      </c>
      <c r="C86" s="2" t="str">
        <f ca="1">IFERROR(__xludf.DUMMYFUNCTION("""COMPUTED_VALUE"""),"""O`ZVAGONTA`MIR"" AJ")</f>
        <v>"O`ZVAGONTA`MIR" AJ</v>
      </c>
      <c r="D86" s="2">
        <f ca="1">IFERROR(__xludf.DUMMYFUNCTION("""COMPUTED_VALUE"""),1)</f>
        <v>1</v>
      </c>
      <c r="E86" s="2" t="str">
        <f ca="1">IFERROR(__xludf.DUMMYFUNCTION("""COMPUTED_VALUE"""),"ВЧД-5 Андижон (Андижон вагон депоси)")</f>
        <v>ВЧД-5 Андижон (Андижон вагон депоси)</v>
      </c>
    </row>
    <row r="87" spans="1:5" ht="45" customHeight="1">
      <c r="A87" s="7"/>
      <c r="B87" s="3"/>
      <c r="C87" s="3"/>
      <c r="D87" s="3"/>
      <c r="E87" s="3"/>
    </row>
    <row r="88" spans="1:5" ht="45" customHeight="1">
      <c r="A88" s="4">
        <f ca="1">IFERROR(__xludf.DUMMYFUNCTION("""COMPUTED_VALUE"""),4.11)</f>
        <v>4.1100000000000003</v>
      </c>
      <c r="B88" s="2">
        <f ca="1">IFERROR(__xludf.DUMMYFUNCTION("""COMPUTED_VALUE"""),201051951)</f>
        <v>201051951</v>
      </c>
      <c r="C88" s="2" t="str">
        <f ca="1">IFERROR(__xludf.DUMMYFUNCTION("""COMPUTED_VALUE"""),"O`ZBEKISTON TEMIR YO`LLARI AJ")</f>
        <v>O`ZBEKISTON TEMIR YO`LLARI AJ</v>
      </c>
      <c r="D88" s="2">
        <f ca="1">IFERROR(__xludf.DUMMYFUNCTION("""COMPUTED_VALUE"""),141)</f>
        <v>141</v>
      </c>
      <c r="E88" s="2" t="str">
        <f ca="1">IFERROR(__xludf.DUMMYFUNCTION("""COMPUTED_VALUE"""),"Жиззах ТехПД")</f>
        <v>Жиззах ТехПД</v>
      </c>
    </row>
    <row r="89" spans="1:5" ht="45" customHeight="1">
      <c r="A89" s="4">
        <f ca="1">IFERROR(__xludf.DUMMYFUNCTION("""COMPUTED_VALUE"""),4.12)</f>
        <v>4.12</v>
      </c>
      <c r="B89" s="2">
        <f ca="1">IFERROR(__xludf.DUMMYFUNCTION("""COMPUTED_VALUE"""),201051951)</f>
        <v>201051951</v>
      </c>
      <c r="C89" s="2" t="str">
        <f ca="1">IFERROR(__xludf.DUMMYFUNCTION("""COMPUTED_VALUE"""),"O`ZBEKISTON TEMIR YO`LLARI AJ")</f>
        <v>O`ZBEKISTON TEMIR YO`LLARI AJ</v>
      </c>
      <c r="D89" s="2">
        <f ca="1">IFERROR(__xludf.DUMMYFUNCTION("""COMPUTED_VALUE"""),140)</f>
        <v>140</v>
      </c>
      <c r="E89" s="2" t="str">
        <f ca="1">IFERROR(__xludf.DUMMYFUNCTION("""COMPUTED_VALUE"""),"Самарканд ТехПД")</f>
        <v>Самарканд ТехПД</v>
      </c>
    </row>
    <row r="90" spans="1:5" ht="45" customHeight="1">
      <c r="A90" s="4">
        <f ca="1">IFERROR(__xludf.DUMMYFUNCTION("""COMPUTED_VALUE"""),4.13)</f>
        <v>4.13</v>
      </c>
      <c r="B90" s="2">
        <f ca="1">IFERROR(__xludf.DUMMYFUNCTION("""COMPUTED_VALUE"""),201051951)</f>
        <v>201051951</v>
      </c>
      <c r="C90" s="2" t="str">
        <f ca="1">IFERROR(__xludf.DUMMYFUNCTION("""COMPUTED_VALUE"""),"O`ZBEKISTON TEMIR YO`LLARI AJ")</f>
        <v>O`ZBEKISTON TEMIR YO`LLARI AJ</v>
      </c>
      <c r="D90" s="2">
        <f ca="1">IFERROR(__xludf.DUMMYFUNCTION("""COMPUTED_VALUE"""),139)</f>
        <v>139</v>
      </c>
      <c r="E90" s="2" t="str">
        <f ca="1">IFERROR(__xludf.DUMMYFUNCTION("""COMPUTED_VALUE"""),"Термиз ТехПД")</f>
        <v>Термиз ТехПД</v>
      </c>
    </row>
    <row r="91" spans="1:5" ht="45" customHeight="1">
      <c r="A91" s="4">
        <f ca="1">IFERROR(__xludf.DUMMYFUNCTION("""COMPUTED_VALUE"""),4.14)</f>
        <v>4.1399999999999997</v>
      </c>
      <c r="B91" s="2">
        <f ca="1">IFERROR(__xludf.DUMMYFUNCTION("""COMPUTED_VALUE"""),201051951)</f>
        <v>201051951</v>
      </c>
      <c r="C91" s="2" t="str">
        <f ca="1">IFERROR(__xludf.DUMMYFUNCTION("""COMPUTED_VALUE"""),"O`ZBEKISTON TEMIR YO`LLARI AJ")</f>
        <v>O`ZBEKISTON TEMIR YO`LLARI AJ</v>
      </c>
      <c r="D91" s="2">
        <f ca="1">IFERROR(__xludf.DUMMYFUNCTION("""COMPUTED_VALUE"""),138)</f>
        <v>138</v>
      </c>
      <c r="E91" s="2" t="str">
        <f ca="1">IFERROR(__xludf.DUMMYFUNCTION("""COMPUTED_VALUE"""),"Андижон ТехПД")</f>
        <v>Андижон ТехПД</v>
      </c>
    </row>
    <row r="92" spans="1:5" ht="45" customHeight="1">
      <c r="A92" s="4">
        <f ca="1">IFERROR(__xludf.DUMMYFUNCTION("""COMPUTED_VALUE"""),4.15)</f>
        <v>4.1500000000000004</v>
      </c>
      <c r="B92" s="2">
        <f ca="1">IFERROR(__xludf.DUMMYFUNCTION("""COMPUTED_VALUE"""),201051951)</f>
        <v>201051951</v>
      </c>
      <c r="C92" s="2" t="str">
        <f ca="1">IFERROR(__xludf.DUMMYFUNCTION("""COMPUTED_VALUE"""),"O`ZBEKISTON TEMIR YO`LLARI AJ")</f>
        <v>O`ZBEKISTON TEMIR YO`LLARI AJ</v>
      </c>
      <c r="D92" s="2">
        <f ca="1">IFERROR(__xludf.DUMMYFUNCTION("""COMPUTED_VALUE"""),137)</f>
        <v>137</v>
      </c>
      <c r="E92" s="2" t="str">
        <f ca="1">IFERROR(__xludf.DUMMYFUNCTION("""COMPUTED_VALUE"""),"Қарши ТехПД")</f>
        <v>Қарши ТехПД</v>
      </c>
    </row>
    <row r="93" spans="1:5" ht="45" customHeight="1">
      <c r="A93" s="4">
        <f ca="1">IFERROR(__xludf.DUMMYFUNCTION("""COMPUTED_VALUE"""),4.16)</f>
        <v>4.16</v>
      </c>
      <c r="B93" s="2">
        <f ca="1">IFERROR(__xludf.DUMMYFUNCTION("""COMPUTED_VALUE"""),201051951)</f>
        <v>201051951</v>
      </c>
      <c r="C93" s="2" t="str">
        <f ca="1">IFERROR(__xludf.DUMMYFUNCTION("""COMPUTED_VALUE"""),"O`ZBEKISTON TEMIR YO`LLARI AJ")</f>
        <v>O`ZBEKISTON TEMIR YO`LLARI AJ</v>
      </c>
      <c r="D93" s="2">
        <f ca="1">IFERROR(__xludf.DUMMYFUNCTION("""COMPUTED_VALUE"""),136)</f>
        <v>136</v>
      </c>
      <c r="E93" s="2" t="str">
        <f ca="1">IFERROR(__xludf.DUMMYFUNCTION("""COMPUTED_VALUE"""),"Қўнғирот ТехПД")</f>
        <v>Қўнғирот ТехПД</v>
      </c>
    </row>
    <row r="94" spans="1:5" ht="45" customHeight="1">
      <c r="A94" s="4">
        <f ca="1">IFERROR(__xludf.DUMMYFUNCTION("""COMPUTED_VALUE"""),4.17)</f>
        <v>4.17</v>
      </c>
      <c r="B94" s="2">
        <f ca="1">IFERROR(__xludf.DUMMYFUNCTION("""COMPUTED_VALUE"""),201051951)</f>
        <v>201051951</v>
      </c>
      <c r="C94" s="2" t="str">
        <f ca="1">IFERROR(__xludf.DUMMYFUNCTION("""COMPUTED_VALUE"""),"O`ZBEKISTON TEMIR YO`LLARI AJ")</f>
        <v>O`ZBEKISTON TEMIR YO`LLARI AJ</v>
      </c>
      <c r="D94" s="2">
        <f ca="1">IFERROR(__xludf.DUMMYFUNCTION("""COMPUTED_VALUE"""),135)</f>
        <v>135</v>
      </c>
      <c r="E94" s="2" t="str">
        <f ca="1">IFERROR(__xludf.DUMMYFUNCTION("""COMPUTED_VALUE"""),"Ургенч ТехПД")</f>
        <v>Ургенч ТехПД</v>
      </c>
    </row>
    <row r="95" spans="1:5" ht="45" customHeight="1">
      <c r="A95" s="4">
        <f ca="1">IFERROR(__xludf.DUMMYFUNCTION("""COMPUTED_VALUE"""),4.18)</f>
        <v>4.18</v>
      </c>
      <c r="B95" s="2">
        <f ca="1">IFERROR(__xludf.DUMMYFUNCTION("""COMPUTED_VALUE"""),201051951)</f>
        <v>201051951</v>
      </c>
      <c r="C95" s="2" t="str">
        <f ca="1">IFERROR(__xludf.DUMMYFUNCTION("""COMPUTED_VALUE"""),"O`ZBEKISTON TEMIR YO`LLARI AJ")</f>
        <v>O`ZBEKISTON TEMIR YO`LLARI AJ</v>
      </c>
      <c r="D95" s="2">
        <f ca="1">IFERROR(__xludf.DUMMYFUNCTION("""COMPUTED_VALUE"""),134)</f>
        <v>134</v>
      </c>
      <c r="E95" s="2" t="str">
        <f ca="1">IFERROR(__xludf.DUMMYFUNCTION("""COMPUTED_VALUE"""),"Бухоро ТехПД")</f>
        <v>Бухоро ТехПД</v>
      </c>
    </row>
    <row r="96" spans="1:5" ht="45" customHeight="1">
      <c r="A96" s="4">
        <f ca="1">IFERROR(__xludf.DUMMYFUNCTION("""COMPUTED_VALUE"""),4.19)</f>
        <v>4.1900000000000004</v>
      </c>
      <c r="B96" s="2">
        <f ca="1">IFERROR(__xludf.DUMMYFUNCTION("""COMPUTED_VALUE"""),201051951)</f>
        <v>201051951</v>
      </c>
      <c r="C96" s="2" t="str">
        <f ca="1">IFERROR(__xludf.DUMMYFUNCTION("""COMPUTED_VALUE"""),"O`ZBEKISTON TEMIR YO`LLARI AJ")</f>
        <v>O`ZBEKISTON TEMIR YO`LLARI AJ</v>
      </c>
      <c r="D96" s="2">
        <f ca="1">IFERROR(__xludf.DUMMYFUNCTION("""COMPUTED_VALUE"""),133)</f>
        <v>133</v>
      </c>
      <c r="E96" s="2" t="str">
        <f ca="1">IFERROR(__xludf.DUMMYFUNCTION("""COMPUTED_VALUE"""),"Қўқон ТехПД")</f>
        <v>Қўқон ТехПД</v>
      </c>
    </row>
    <row r="97" spans="1:5" ht="45" customHeight="1">
      <c r="A97" s="4">
        <f ca="1">IFERROR(__xludf.DUMMYFUNCTION("""COMPUTED_VALUE"""),4.2)</f>
        <v>4.2</v>
      </c>
      <c r="B97" s="2">
        <f ca="1">IFERROR(__xludf.DUMMYFUNCTION("""COMPUTED_VALUE"""),201051951)</f>
        <v>201051951</v>
      </c>
      <c r="C97" s="2" t="str">
        <f ca="1">IFERROR(__xludf.DUMMYFUNCTION("""COMPUTED_VALUE"""),"O`ZBEKISTON TEMIR YO`LLARI AJ")</f>
        <v>O`ZBEKISTON TEMIR YO`LLARI AJ</v>
      </c>
      <c r="D97" s="2">
        <f ca="1">IFERROR(__xludf.DUMMYFUNCTION("""COMPUTED_VALUE"""),132)</f>
        <v>132</v>
      </c>
      <c r="E97" s="2" t="str">
        <f ca="1">IFERROR(__xludf.DUMMYFUNCTION("""COMPUTED_VALUE"""),"Тошкент ТехПД")</f>
        <v>Тошкент ТехПД</v>
      </c>
    </row>
    <row r="98" spans="1:5" ht="45" customHeight="1">
      <c r="A98" s="4">
        <f ca="1">IFERROR(__xludf.DUMMYFUNCTION("""COMPUTED_VALUE"""),4.21)</f>
        <v>4.21</v>
      </c>
      <c r="B98" s="2">
        <f ca="1">IFERROR(__xludf.DUMMYFUNCTION("""COMPUTED_VALUE"""),201051951)</f>
        <v>201051951</v>
      </c>
      <c r="C98" s="2" t="str">
        <f ca="1">IFERROR(__xludf.DUMMYFUNCTION("""COMPUTED_VALUE"""),"""O`ZBEKISTON TEMIR YO`LLARI"" AJ")</f>
        <v>"O`ZBEKISTON TEMIR YO`LLARI" AJ</v>
      </c>
      <c r="D98" s="2">
        <f ca="1">IFERROR(__xludf.DUMMYFUNCTION("""COMPUTED_VALUE"""),170)</f>
        <v>170</v>
      </c>
      <c r="E98" s="2" t="str">
        <f ca="1">IFERROR(__xludf.DUMMYFUNCTION("""COMPUTED_VALUE"""),"""TEMIRYO`LTA`MIN"" BOSHQARMASI")</f>
        <v>"TEMIRYO`LTA`MIN" BOSHQARMASI</v>
      </c>
    </row>
    <row r="99" spans="1:5" ht="45" customHeight="1">
      <c r="A99" s="7"/>
      <c r="B99" s="3"/>
      <c r="C99" s="3"/>
      <c r="D99" s="3"/>
      <c r="E99" s="3"/>
    </row>
    <row r="100" spans="1:5" ht="45" customHeight="1">
      <c r="A100" s="4">
        <f ca="1">IFERROR(__xludf.DUMMYFUNCTION("""COMPUTED_VALUE"""),5.11)</f>
        <v>5.1100000000000003</v>
      </c>
      <c r="B100" s="2">
        <f ca="1">IFERROR(__xludf.DUMMYFUNCTION("""COMPUTED_VALUE"""),201051951)</f>
        <v>201051951</v>
      </c>
      <c r="C100" s="2" t="str">
        <f ca="1">IFERROR(__xludf.DUMMYFUNCTION("""COMPUTED_VALUE"""),"""O`ZBEKISTON TEMIR YO`LLARI"" AJ")</f>
        <v>"O`ZBEKISTON TEMIR YO`LLARI" AJ</v>
      </c>
      <c r="D100" s="2">
        <f ca="1">IFERROR(__xludf.DUMMYFUNCTION("""COMPUTED_VALUE"""),207)</f>
        <v>207</v>
      </c>
      <c r="E100" s="2" t="str">
        <f ca="1">IFERROR(__xludf.DUMMYFUNCTION("""COMPUTED_VALUE"""),"TEMIRYO'LYONILG'ITA'MIN BOSHQARMASI (ИНН: 201053688) (ТЕМИРЙУЛЁНИЛГИТАЪМИН, ОТСП)")</f>
        <v>TEMIRYO'LYONILG'ITA'MIN BOSHQARMASI (ИНН: 201053688) (ТЕМИРЙУЛЁНИЛГИТАЪМИН, ОТСП)</v>
      </c>
    </row>
    <row r="101" spans="1:5" ht="45" customHeight="1">
      <c r="A101" s="4">
        <f ca="1">IFERROR(__xludf.DUMMYFUNCTION("""COMPUTED_VALUE"""),5.12)</f>
        <v>5.12</v>
      </c>
      <c r="B101" s="2">
        <f ca="1">IFERROR(__xludf.DUMMYFUNCTION("""COMPUTED_VALUE"""),201051951)</f>
        <v>201051951</v>
      </c>
      <c r="C101" s="2" t="str">
        <f ca="1">IFERROR(__xludf.DUMMYFUNCTION("""COMPUTED_VALUE"""),"""O`ZBEKISTON TEMIR YO`LLARI"" AJ")</f>
        <v>"O`ZBEKISTON TEMIR YO`LLARI" AJ</v>
      </c>
      <c r="D101" s="2">
        <f ca="1">IFERROR(__xludf.DUMMYFUNCTION("""COMPUTED_VALUE"""),208)</f>
        <v>208</v>
      </c>
      <c r="E101" s="2" t="str">
        <f ca="1">IFERROR(__xludf.DUMMYFUNCTION("""COMPUTED_VALUE"""),"Тошкент Бирлашган Ёнилғи Омбор Хўжалиги  (ИНН: 201053688) ОТСП")</f>
        <v>Тошкент Бирлашган Ёнилғи Омбор Хўжалиги  (ИНН: 201053688) ОТСП</v>
      </c>
    </row>
    <row r="102" spans="1:5" ht="45" customHeight="1">
      <c r="A102" s="4">
        <f ca="1">IFERROR(__xludf.DUMMYFUNCTION("""COMPUTED_VALUE"""),5.13)</f>
        <v>5.13</v>
      </c>
      <c r="B102" s="2">
        <f ca="1">IFERROR(__xludf.DUMMYFUNCTION("""COMPUTED_VALUE"""),201051951)</f>
        <v>201051951</v>
      </c>
      <c r="C102" s="2" t="str">
        <f ca="1">IFERROR(__xludf.DUMMYFUNCTION("""COMPUTED_VALUE"""),"""O`ZBEKISTON TEMIR YO`LLARI"" AJ")</f>
        <v>"O`ZBEKISTON TEMIR YO`LLARI" AJ</v>
      </c>
      <c r="D102" s="2">
        <f ca="1">IFERROR(__xludf.DUMMYFUNCTION("""COMPUTED_VALUE"""),209)</f>
        <v>209</v>
      </c>
      <c r="E102" s="2" t="str">
        <f ca="1">IFERROR(__xludf.DUMMYFUNCTION("""COMPUTED_VALUE"""),"Қўқон Бирлашган Ёнилғи Омбор Хўжалиги  (ИНН: 203783507) ОТСП")</f>
        <v>Қўқон Бирлашган Ёнилғи Омбор Хўжалиги  (ИНН: 203783507) ОТСП</v>
      </c>
    </row>
    <row r="103" spans="1:5" ht="45" customHeight="1">
      <c r="A103" s="4">
        <f ca="1">IFERROR(__xludf.DUMMYFUNCTION("""COMPUTED_VALUE"""),5.14)</f>
        <v>5.14</v>
      </c>
      <c r="B103" s="2">
        <f ca="1">IFERROR(__xludf.DUMMYFUNCTION("""COMPUTED_VALUE"""),201051951)</f>
        <v>201051951</v>
      </c>
      <c r="C103" s="2" t="str">
        <f ca="1">IFERROR(__xludf.DUMMYFUNCTION("""COMPUTED_VALUE"""),"""O`ZBEKISTON TEMIR YO`LLARI"" AJ")</f>
        <v>"O`ZBEKISTON TEMIR YO`LLARI" AJ</v>
      </c>
      <c r="D103" s="2">
        <f ca="1">IFERROR(__xludf.DUMMYFUNCTION("""COMPUTED_VALUE"""),210)</f>
        <v>210</v>
      </c>
      <c r="E103" s="2" t="str">
        <f ca="1">IFERROR(__xludf.DUMMYFUNCTION("""COMPUTED_VALUE"""),"Қарши Бирлашган Ёнилғи Омбор Хўжалиги  (ИНН: 207240546) ОТСП")</f>
        <v>Қарши Бирлашган Ёнилғи Омбор Хўжалиги  (ИНН: 207240546) ОТСП</v>
      </c>
    </row>
    <row r="104" spans="1:5" ht="45" customHeight="1">
      <c r="A104" s="4">
        <f ca="1">IFERROR(__xludf.DUMMYFUNCTION("""COMPUTED_VALUE"""),5.15)</f>
        <v>5.15</v>
      </c>
      <c r="B104" s="2">
        <f ca="1">IFERROR(__xludf.DUMMYFUNCTION("""COMPUTED_VALUE"""),201051951)</f>
        <v>201051951</v>
      </c>
      <c r="C104" s="2" t="str">
        <f ca="1">IFERROR(__xludf.DUMMYFUNCTION("""COMPUTED_VALUE"""),"""O`ZBEKISTON TEMIR YO`LLARI"" AJ")</f>
        <v>"O`ZBEKISTON TEMIR YO`LLARI" AJ</v>
      </c>
      <c r="D104" s="2">
        <f ca="1">IFERROR(__xludf.DUMMYFUNCTION("""COMPUTED_VALUE"""),211)</f>
        <v>211</v>
      </c>
      <c r="E104" s="2" t="str">
        <f ca="1">IFERROR(__xludf.DUMMYFUNCTION("""COMPUTED_VALUE"""),"Бухоро Бирлашган Ёнилғи Омбор Хўжалиги  (ИНН: 203791125) ОТСП")</f>
        <v>Бухоро Бирлашган Ёнилғи Омбор Хўжалиги  (ИНН: 203791125) ОТСП</v>
      </c>
    </row>
    <row r="105" spans="1:5" ht="45" customHeight="1">
      <c r="A105" s="4">
        <f ca="1">IFERROR(__xludf.DUMMYFUNCTION("""COMPUTED_VALUE"""),5.16)</f>
        <v>5.16</v>
      </c>
      <c r="B105" s="2">
        <f ca="1">IFERROR(__xludf.DUMMYFUNCTION("""COMPUTED_VALUE"""),201051951)</f>
        <v>201051951</v>
      </c>
      <c r="C105" s="2" t="str">
        <f ca="1">IFERROR(__xludf.DUMMYFUNCTION("""COMPUTED_VALUE"""),"""O`ZBEKISTON TEMIR YO`LLARI"" AJ")</f>
        <v>"O`ZBEKISTON TEMIR YO`LLARI" AJ</v>
      </c>
      <c r="D105" s="2">
        <f ca="1">IFERROR(__xludf.DUMMYFUNCTION("""COMPUTED_VALUE"""),212)</f>
        <v>212</v>
      </c>
      <c r="E105" s="2" t="str">
        <f ca="1">IFERROR(__xludf.DUMMYFUNCTION("""COMPUTED_VALUE"""),"Мискин Бирлашган Ёнилғи Омбор Хўжалиги  (ИНН: 200364831) ОТСП")</f>
        <v>Мискин Бирлашган Ёнилғи Омбор Хўжалиги  (ИНН: 200364831) ОТСП</v>
      </c>
    </row>
    <row r="106" spans="1:5" ht="45" customHeight="1">
      <c r="A106" s="4">
        <f ca="1">IFERROR(__xludf.DUMMYFUNCTION("""COMPUTED_VALUE"""),5.17)</f>
        <v>5.17</v>
      </c>
      <c r="B106" s="2">
        <f ca="1">IFERROR(__xludf.DUMMYFUNCTION("""COMPUTED_VALUE"""),201051951)</f>
        <v>201051951</v>
      </c>
      <c r="C106" s="2" t="str">
        <f ca="1">IFERROR(__xludf.DUMMYFUNCTION("""COMPUTED_VALUE"""),"""O`ZBEKISTON TEMIR YO`LLARI"" AJ")</f>
        <v>"O`ZBEKISTON TEMIR YO`LLARI" AJ</v>
      </c>
      <c r="D106" s="2">
        <f ca="1">IFERROR(__xludf.DUMMYFUNCTION("""COMPUTED_VALUE"""),213)</f>
        <v>213</v>
      </c>
      <c r="E106" s="2" t="str">
        <f ca="1">IFERROR(__xludf.DUMMYFUNCTION("""COMPUTED_VALUE"""),"Самарканд Бирлашган Ёнилғи Омбор Хўжалиги  (ИНН: 203769704) ОТСП")</f>
        <v>Самарканд Бирлашган Ёнилғи Омбор Хўжалиги  (ИНН: 203769704) ОТСП</v>
      </c>
    </row>
    <row r="107" spans="1:5" ht="45" customHeight="1">
      <c r="A107" s="4">
        <f ca="1">IFERROR(__xludf.DUMMYFUNCTION("""COMPUTED_VALUE"""),5.18)</f>
        <v>5.18</v>
      </c>
      <c r="B107" s="2">
        <f ca="1">IFERROR(__xludf.DUMMYFUNCTION("""COMPUTED_VALUE"""),201051951)</f>
        <v>201051951</v>
      </c>
      <c r="C107" s="2" t="str">
        <f ca="1">IFERROR(__xludf.DUMMYFUNCTION("""COMPUTED_VALUE"""),"""O`ZBEKISTON TEMIR YO`LLARI"" AJ")</f>
        <v>"O`ZBEKISTON TEMIR YO`LLARI" AJ</v>
      </c>
      <c r="D107" s="2">
        <f ca="1">IFERROR(__xludf.DUMMYFUNCTION("""COMPUTED_VALUE"""),214)</f>
        <v>214</v>
      </c>
      <c r="E107" s="2" t="str">
        <f ca="1">IFERROR(__xludf.DUMMYFUNCTION("""COMPUTED_VALUE"""),"Термиз Ёнилғи Кўмир Хўжалиги  (ИНН: 207290065) ОТСП")</f>
        <v>Термиз Ёнилғи Кўмир Хўжалиги  (ИНН: 207290065) ОТСП</v>
      </c>
    </row>
    <row r="108" spans="1:5" ht="45" customHeight="1">
      <c r="A108" s="4">
        <f ca="1">IFERROR(__xludf.DUMMYFUNCTION("""COMPUTED_VALUE"""),5.19)</f>
        <v>5.19</v>
      </c>
      <c r="B108" s="2">
        <f ca="1">IFERROR(__xludf.DUMMYFUNCTION("""COMPUTED_VALUE"""),201051951)</f>
        <v>201051951</v>
      </c>
      <c r="C108" s="2" t="str">
        <f ca="1">IFERROR(__xludf.DUMMYFUNCTION("""COMPUTED_VALUE"""),"""O`ZBEKISTON TEMIR YO`LLARI"" AJ")</f>
        <v>"O`ZBEKISTON TEMIR YO`LLARI" AJ</v>
      </c>
      <c r="D108" s="2">
        <f ca="1">IFERROR(__xludf.DUMMYFUNCTION("""COMPUTED_VALUE"""),37)</f>
        <v>37</v>
      </c>
      <c r="E108" s="2" t="str">
        <f ca="1">IFERROR(__xludf.DUMMYFUNCTION("""COMPUTED_VALUE"""),"АХБОРОТ-ТАХЛИЛ МЕДИА МАРКАЗИ АЖ ""ЎТЙ"" ИНН 207295589")</f>
        <v>АХБОРОТ-ТАХЛИЛ МЕДИА МАРКАЗИ АЖ "ЎТЙ" ИНН 207295589</v>
      </c>
    </row>
    <row r="109" spans="1:5" ht="45" customHeight="1">
      <c r="A109" s="4">
        <f ca="1">IFERROR(__xludf.DUMMYFUNCTION("""COMPUTED_VALUE"""),5.2)</f>
        <v>5.2</v>
      </c>
      <c r="B109" s="2">
        <f ca="1">IFERROR(__xludf.DUMMYFUNCTION("""COMPUTED_VALUE"""),201051951)</f>
        <v>201051951</v>
      </c>
      <c r="C109" s="2" t="str">
        <f ca="1">IFERROR(__xludf.DUMMYFUNCTION("""COMPUTED_VALUE"""),"O`ZBEKISTON TEMIR YO`LLARI AJ")</f>
        <v>O`ZBEKISTON TEMIR YO`LLARI AJ</v>
      </c>
      <c r="D109" s="2">
        <f ca="1">IFERROR(__xludf.DUMMYFUNCTION("""COMPUTED_VALUE"""),18)</f>
        <v>18</v>
      </c>
      <c r="E109" s="2" t="str">
        <f ca="1">IFERROR(__xludf.DUMMYFUNCTION("""COMPUTED_VALUE"""),"O`ZTEMIRYO`LHISOB markazi daromadlarni hisobga olish bo`limi (Узжелдоррасчёт)")</f>
        <v>O`ZTEMIRYO`LHISOB markazi daromadlarni hisobga olish bo`limi (Узжелдоррасчёт)</v>
      </c>
    </row>
    <row r="110" spans="1:5" ht="45" customHeight="1">
      <c r="A110" s="4">
        <f ca="1">IFERROR(__xludf.DUMMYFUNCTION("""COMPUTED_VALUE"""),5.21)</f>
        <v>5.21</v>
      </c>
      <c r="B110" s="2">
        <f ca="1">IFERROR(__xludf.DUMMYFUNCTION("""COMPUTED_VALUE"""),201051951)</f>
        <v>201051951</v>
      </c>
      <c r="C110" s="2" t="str">
        <f ca="1">IFERROR(__xludf.DUMMYFUNCTION("""COMPUTED_VALUE"""),"""O`ZBEKISTON TEMIR YO`LLARI"" AJ")</f>
        <v>"O`ZBEKISTON TEMIR YO`LLARI" AJ</v>
      </c>
      <c r="D110" s="2">
        <f ca="1">IFERROR(__xludf.DUMMYFUNCTION("""COMPUTED_VALUE"""),34)</f>
        <v>34</v>
      </c>
      <c r="E110" s="2" t="str">
        <f ca="1">IFERROR(__xludf.DUMMYFUNCTION("""COMPUTED_VALUE"""),"O`ZTEMIRYO`LHISOB MARKAZI (buxgalteriya) (STIR 203776206)(Узжелдоррассчёт)")</f>
        <v>O`ZTEMIRYO`LHISOB MARKAZI (buxgalteriya) (STIR 203776206)(Узжелдоррассчёт)</v>
      </c>
    </row>
    <row r="111" spans="1:5" ht="45" customHeight="1">
      <c r="A111" s="4">
        <f ca="1">IFERROR(__xludf.DUMMYFUNCTION("""COMPUTED_VALUE"""),5.22)</f>
        <v>5.22</v>
      </c>
      <c r="B111" s="2">
        <f ca="1">IFERROR(__xludf.DUMMYFUNCTION("""COMPUTED_VALUE"""),201051951)</f>
        <v>201051951</v>
      </c>
      <c r="C111" s="2" t="str">
        <f ca="1">IFERROR(__xludf.DUMMYFUNCTION("""COMPUTED_VALUE"""),"""O`ZBEKISTON TEMIR YO`LLARI"" AJ")</f>
        <v>"O`ZBEKISTON TEMIR YO`LLARI" AJ</v>
      </c>
      <c r="D111" s="2">
        <f ca="1">IFERROR(__xludf.DUMMYFUNCTION("""COMPUTED_VALUE"""),35)</f>
        <v>35</v>
      </c>
      <c r="E111" s="2" t="str">
        <f ca="1">IFERROR(__xludf.DUMMYFUNCTION("""COMPUTED_VALUE"""),"ISHLARNI BOSHQARISH DIREKTSIYASI ""O`TY"" AJ (STIR 201053878) (ДОК УДН) ")</f>
        <v xml:space="preserve">ISHLARNI BOSHQARISH DIREKTSIYASI "O`TY" AJ (STIR 201053878) (ДОК УДН) </v>
      </c>
    </row>
    <row r="112" spans="1:5" ht="45" customHeight="1">
      <c r="A112" s="4">
        <f ca="1">IFERROR(__xludf.DUMMYFUNCTION("""COMPUTED_VALUE"""),5.23)</f>
        <v>5.23</v>
      </c>
      <c r="B112" s="2">
        <f ca="1">IFERROR(__xludf.DUMMYFUNCTION("""COMPUTED_VALUE"""),201051951)</f>
        <v>201051951</v>
      </c>
      <c r="C112" s="2" t="str">
        <f ca="1">IFERROR(__xludf.DUMMYFUNCTION("""COMPUTED_VALUE"""),"""O`ZBEKISTON TEMIR YO`LLARI"" AJ")</f>
        <v>"O`ZBEKISTON TEMIR YO`LLARI" AJ</v>
      </c>
      <c r="D112" s="2">
        <f ca="1">IFERROR(__xludf.DUMMYFUNCTION("""COMPUTED_VALUE"""),35)</f>
        <v>35</v>
      </c>
      <c r="E112" s="2" t="str">
        <f ca="1">IFERROR(__xludf.DUMMYFUNCTION("""COMPUTED_VALUE"""),"ISHLARNI BOSHQARISH DIREKTSIYASI ""O`TY"" AJ (STIR 201053878) Иктисодий тахлил ва прогноз")</f>
        <v>ISHLARNI BOSHQARISH DIREKTSIYASI "O`TY" AJ (STIR 201053878) Иктисодий тахлил ва прогноз</v>
      </c>
    </row>
    <row r="113" spans="1:5" ht="45" customHeight="1">
      <c r="A113" s="4">
        <f ca="1">IFERROR(__xludf.DUMMYFUNCTION("""COMPUTED_VALUE"""),5.24)</f>
        <v>5.24</v>
      </c>
      <c r="B113" s="2">
        <f ca="1">IFERROR(__xludf.DUMMYFUNCTION("""COMPUTED_VALUE"""),201051951)</f>
        <v>201051951</v>
      </c>
      <c r="C113" s="2" t="str">
        <f ca="1">IFERROR(__xludf.DUMMYFUNCTION("""COMPUTED_VALUE"""),"""O`ZBEKISTON TEMIR YO`LLARI"" AJ")</f>
        <v>"O`ZBEKISTON TEMIR YO`LLARI" AJ</v>
      </c>
      <c r="D113" s="2">
        <f ca="1">IFERROR(__xludf.DUMMYFUNCTION("""COMPUTED_VALUE"""),36)</f>
        <v>36</v>
      </c>
      <c r="E113" s="2" t="str">
        <f ca="1">IFERROR(__xludf.DUMMYFUNCTION("""COMPUTED_VALUE"""),"AXBOROT HISOBLASH MARKAZI (STIR 201053767) ИВЦ")</f>
        <v>AXBOROT HISOBLASH MARKAZI (STIR 201053767) ИВЦ</v>
      </c>
    </row>
    <row r="114" spans="1:5" ht="45" customHeight="1">
      <c r="A114" s="4">
        <f ca="1">IFERROR(__xludf.DUMMYFUNCTION("""COMPUTED_VALUE"""),5.25)</f>
        <v>5.25</v>
      </c>
      <c r="B114" s="2">
        <f ca="1">IFERROR(__xludf.DUMMYFUNCTION("""COMPUTED_VALUE"""),201051951)</f>
        <v>201051951</v>
      </c>
      <c r="C114" s="2" t="str">
        <f ca="1">IFERROR(__xludf.DUMMYFUNCTION("""COMPUTED_VALUE"""),"""O`ZBEKISTON TEMIR YO`LLARI"" AJ")</f>
        <v>"O`ZBEKISTON TEMIR YO`LLARI" AJ</v>
      </c>
      <c r="D114" s="2">
        <f ca="1">IFERROR(__xludf.DUMMYFUNCTION("""COMPUTED_VALUE"""),3)</f>
        <v>3</v>
      </c>
      <c r="E114" s="2" t="str">
        <f ca="1">IFERROR(__xludf.DUMMYFUNCTION("""COMPUTED_VALUE"""),"KAPITAL QURILISH DIREKSIYASI (STIR 202342708) (Капитал курилиш дирекцияси НОКС) ")</f>
        <v xml:space="preserve">KAPITAL QURILISH DIREKSIYASI (STIR 202342708) (Капитал курилиш дирекцияси НОКС) </v>
      </c>
    </row>
    <row r="115" spans="1:5" ht="45" customHeight="1">
      <c r="A115" s="4">
        <f ca="1">IFERROR(__xludf.DUMMYFUNCTION("""COMPUTED_VALUE"""),5.26)</f>
        <v>5.26</v>
      </c>
      <c r="B115" s="2">
        <f ca="1">IFERROR(__xludf.DUMMYFUNCTION("""COMPUTED_VALUE"""),201051951)</f>
        <v>201051951</v>
      </c>
      <c r="C115" s="2" t="str">
        <f ca="1">IFERROR(__xludf.DUMMYFUNCTION("""COMPUTED_VALUE"""),"""O`ZBEKISTON TEMIR YO`LLARI"" AJ")</f>
        <v>"O`ZBEKISTON TEMIR YO`LLARI" AJ</v>
      </c>
      <c r="D115" s="2">
        <f ca="1">IFERROR(__xludf.DUMMYFUNCTION("""COMPUTED_VALUE"""),168)</f>
        <v>168</v>
      </c>
      <c r="E115" s="2" t="str">
        <f ca="1">IFERROR(__xludf.DUMMYFUNCTION("""COMPUTED_VALUE"""),"Mahsus direktsiya (STIR 207166922) (Махсус дирекция)")</f>
        <v>Mahsus direktsiya (STIR 207166922) (Махсус дирекция)</v>
      </c>
    </row>
    <row r="116" spans="1:5" ht="45" customHeight="1">
      <c r="A116" s="7"/>
      <c r="B116" s="3"/>
      <c r="C116" s="3"/>
      <c r="D116" s="3"/>
      <c r="E116" s="3"/>
    </row>
    <row r="117" spans="1:5" ht="45" customHeight="1">
      <c r="A117" s="4">
        <f ca="1">IFERROR(__xludf.DUMMYFUNCTION("""COMPUTED_VALUE"""),6.11)</f>
        <v>6.11</v>
      </c>
      <c r="B117" s="2">
        <f ca="1">IFERROR(__xludf.DUMMYFUNCTION("""COMPUTED_VALUE"""),202472894)</f>
        <v>202472894</v>
      </c>
      <c r="C117" s="2" t="str">
        <f ca="1">IFERROR(__xludf.DUMMYFUNCTION("""COMPUTED_VALUE"""),"""O`ZTEMIRYO`LYO`LOVCHI"" AJ")</f>
        <v>"O`ZTEMIRYO`LYO`LOVCHI" AJ</v>
      </c>
      <c r="D117" s="2">
        <f ca="1">IFERROR(__xludf.DUMMYFUNCTION("""COMPUTED_VALUE"""),21)</f>
        <v>21</v>
      </c>
      <c r="E117" s="2" t="str">
        <f ca="1">IFERROR(__xludf.DUMMYFUNCTION("""COMPUTED_VALUE"""),"""O`ZTEMIRYO`LYO`LOVCHI"" АЖ ( Ўзтемирйуловчи, Узжелдорпасс)")</f>
        <v>"O`ZTEMIRYO`LYO`LOVCHI" АЖ ( Ўзтемирйуловчи, Узжелдорпасс)</v>
      </c>
    </row>
    <row r="118" spans="1:5" ht="45" customHeight="1">
      <c r="A118" s="4">
        <f ca="1">IFERROR(__xludf.DUMMYFUNCTION("""COMPUTED_VALUE"""),6.12)</f>
        <v>6.12</v>
      </c>
      <c r="B118" s="2">
        <f ca="1">IFERROR(__xludf.DUMMYFUNCTION("""COMPUTED_VALUE"""),202472894)</f>
        <v>202472894</v>
      </c>
      <c r="C118" s="2" t="str">
        <f ca="1">IFERROR(__xludf.DUMMYFUNCTION("""COMPUTED_VALUE"""),"""O`ZTEMIRYO`LYO`LOVCHI"" AJ")</f>
        <v>"O`ZTEMIRYO`LYO`LOVCHI" AJ</v>
      </c>
      <c r="D118" s="2">
        <f ca="1">IFERROR(__xludf.DUMMYFUNCTION("""COMPUTED_VALUE"""),20)</f>
        <v>20</v>
      </c>
      <c r="E118" s="2" t="str">
        <f ca="1">IFERROR(__xludf.DUMMYFUNCTION("""COMPUTED_VALUE"""),"""O`ZTEMIRYO`LYO`LOVCHI"" АЖ (Аппарат)( Ўзтемирйуловчи, Узжелдорпасс)")</f>
        <v>"O`ZTEMIRYO`LYO`LOVCHI" АЖ (Аппарат)( Ўзтемирйуловчи, Узжелдорпасс)</v>
      </c>
    </row>
    <row r="119" spans="1:5" ht="45" customHeight="1">
      <c r="A119" s="4">
        <f ca="1">IFERROR(__xludf.DUMMYFUNCTION("""COMPUTED_VALUE"""),6.13)</f>
        <v>6.13</v>
      </c>
      <c r="B119" s="2">
        <f ca="1">IFERROR(__xludf.DUMMYFUNCTION("""COMPUTED_VALUE"""),202472894)</f>
        <v>202472894</v>
      </c>
      <c r="C119" s="2" t="str">
        <f ca="1">IFERROR(__xludf.DUMMYFUNCTION("""COMPUTED_VALUE"""),"""O`ZTEMIRYO`LYO`LOVCHI"" AJ")</f>
        <v>"O`ZTEMIRYO`LYO`LOVCHI" AJ</v>
      </c>
      <c r="D119" s="2">
        <f ca="1">IFERROR(__xludf.DUMMYFUNCTION("""COMPUTED_VALUE"""),19)</f>
        <v>19</v>
      </c>
      <c r="E119" s="2" t="str">
        <f ca="1">IFERROR(__xludf.DUMMYFUNCTION("""COMPUTED_VALUE"""),"Ташишни Ташкил этиш бўлими")</f>
        <v>Ташишни Ташкил этиш бўлими</v>
      </c>
    </row>
    <row r="120" spans="1:5" ht="45" customHeight="1">
      <c r="A120" s="4">
        <f ca="1">IFERROR(__xludf.DUMMYFUNCTION("""COMPUTED_VALUE"""),6.14)</f>
        <v>6.14</v>
      </c>
      <c r="B120" s="2">
        <f ca="1">IFERROR(__xludf.DUMMYFUNCTION("""COMPUTED_VALUE"""),202472894)</f>
        <v>202472894</v>
      </c>
      <c r="C120" s="2" t="str">
        <f ca="1">IFERROR(__xludf.DUMMYFUNCTION("""COMPUTED_VALUE"""),"""O`ZTEMIRYO`LYO`LOVCHI"" AJ")</f>
        <v>"O`ZTEMIRYO`LYO`LOVCHI" AJ</v>
      </c>
      <c r="D120" s="2">
        <f ca="1">IFERROR(__xludf.DUMMYFUNCTION("""COMPUTED_VALUE"""),18)</f>
        <v>18</v>
      </c>
      <c r="E120" s="2" t="str">
        <f ca="1">IFERROR(__xludf.DUMMYFUNCTION("""COMPUTED_VALUE"""),"Йул хужжатларини расмийлаштириш агентлиги")</f>
        <v>Йул хужжатларини расмийлаштириш агентлиги</v>
      </c>
    </row>
    <row r="121" spans="1:5" ht="45" customHeight="1">
      <c r="A121" s="4">
        <f ca="1">IFERROR(__xludf.DUMMYFUNCTION("""COMPUTED_VALUE"""),6.15)</f>
        <v>6.15</v>
      </c>
      <c r="B121" s="2">
        <f ca="1">IFERROR(__xludf.DUMMYFUNCTION("""COMPUTED_VALUE"""),202472894)</f>
        <v>202472894</v>
      </c>
      <c r="C121" s="2" t="str">
        <f ca="1">IFERROR(__xludf.DUMMYFUNCTION("""COMPUTED_VALUE"""),"""O`ZTEMIRYO`LYO`LOVCHI"" AJ")</f>
        <v>"O`ZTEMIRYO`LYO`LOVCHI" AJ</v>
      </c>
      <c r="D121" s="2">
        <f ca="1">IFERROR(__xludf.DUMMYFUNCTION("""COMPUTED_VALUE"""),17)</f>
        <v>17</v>
      </c>
      <c r="E121" s="2" t="str">
        <f ca="1">IFERROR(__xludf.DUMMYFUNCTION("""COMPUTED_VALUE"""),"TEZYURAR YO‘NALISHLARDA YO‘LOVCHILARGA XIZMAT KO‘RSATISH FILIALI (ТЕЗЮРАР ЙУЛАНИШЛАРДА ЙУЛОВЧИЛАРГА ХИЗМАТ КЎРСАТИШ ФИЛИАЛИ)")</f>
        <v>TEZYURAR YO‘NALISHLARDA YO‘LOVCHILARGA XIZMAT KO‘RSATISH FILIALI (ТЕЗЮРАР ЙУЛАНИШЛАРДА ЙУЛОВЧИЛАРГА ХИЗМАТ КЎРСАТИШ ФИЛИАЛИ)</v>
      </c>
    </row>
    <row r="122" spans="1:5" ht="45" customHeight="1">
      <c r="A122" s="4">
        <f ca="1">IFERROR(__xludf.DUMMYFUNCTION("""COMPUTED_VALUE"""),6.16)</f>
        <v>6.16</v>
      </c>
      <c r="B122" s="2">
        <f ca="1">IFERROR(__xludf.DUMMYFUNCTION("""COMPUTED_VALUE"""),202472894)</f>
        <v>202472894</v>
      </c>
      <c r="C122" s="2" t="str">
        <f ca="1">IFERROR(__xludf.DUMMYFUNCTION("""COMPUTED_VALUE"""),"""O`ZTEMIRYO`LYO`LOVCHI"" AJ")</f>
        <v>"O`ZTEMIRYO`LYO`LOVCHI" AJ</v>
      </c>
      <c r="D122" s="2">
        <f ca="1">IFERROR(__xludf.DUMMYFUNCTION("""COMPUTED_VALUE"""),15)</f>
        <v>15</v>
      </c>
      <c r="E122" s="2" t="str">
        <f ca="1">IFERROR(__xludf.DUMMYFUNCTION("""COMPUTED_VALUE"""),"СУРХАНДАРЁ ФИЛИАЛИ")</f>
        <v>СУРХАНДАРЁ ФИЛИАЛИ</v>
      </c>
    </row>
    <row r="123" spans="1:5" ht="45" customHeight="1">
      <c r="A123" s="4">
        <f ca="1">IFERROR(__xludf.DUMMYFUNCTION("""COMPUTED_VALUE"""),6.17)</f>
        <v>6.17</v>
      </c>
      <c r="B123" s="2">
        <f ca="1">IFERROR(__xludf.DUMMYFUNCTION("""COMPUTED_VALUE"""),202472894)</f>
        <v>202472894</v>
      </c>
      <c r="C123" s="2" t="str">
        <f ca="1">IFERROR(__xludf.DUMMYFUNCTION("""COMPUTED_VALUE"""),"""O`ZTEMIRYO`LYO`LOVCHI"" AJ")</f>
        <v>"O`ZTEMIRYO`LYO`LOVCHI" AJ</v>
      </c>
      <c r="D123" s="2">
        <f ca="1">IFERROR(__xludf.DUMMYFUNCTION("""COMPUTED_VALUE"""),14)</f>
        <v>14</v>
      </c>
      <c r="E123" s="2" t="str">
        <f ca="1">IFERROR(__xludf.DUMMYFUNCTION("""COMPUTED_VALUE"""),"ҚАРШИ ФИЛИАЛИ")</f>
        <v>ҚАРШИ ФИЛИАЛИ</v>
      </c>
    </row>
    <row r="124" spans="1:5" ht="45" customHeight="1">
      <c r="A124" s="4">
        <f ca="1">IFERROR(__xludf.DUMMYFUNCTION("""COMPUTED_VALUE"""),6.18)</f>
        <v>6.18</v>
      </c>
      <c r="B124" s="2">
        <f ca="1">IFERROR(__xludf.DUMMYFUNCTION("""COMPUTED_VALUE"""),202472894)</f>
        <v>202472894</v>
      </c>
      <c r="C124" s="2" t="str">
        <f ca="1">IFERROR(__xludf.DUMMYFUNCTION("""COMPUTED_VALUE"""),"""O`ZTEMIRYO`LYO`LOVCHI"" AJ")</f>
        <v>"O`ZTEMIRYO`LYO`LOVCHI" AJ</v>
      </c>
      <c r="D124" s="2">
        <f ca="1">IFERROR(__xludf.DUMMYFUNCTION("""COMPUTED_VALUE"""),13)</f>
        <v>13</v>
      </c>
      <c r="E124" s="2" t="str">
        <f ca="1">IFERROR(__xludf.DUMMYFUNCTION("""COMPUTED_VALUE"""),"АНДИЖОН ЙУЛОВЧИ ВАГОНЛАРГА ТЕХНИК ХИЗМАТ ҚЎРСАТИШ МАРКАЗИ")</f>
        <v>АНДИЖОН ЙУЛОВЧИ ВАГОНЛАРГА ТЕХНИК ХИЗМАТ ҚЎРСАТИШ МАРКАЗИ</v>
      </c>
    </row>
    <row r="125" spans="1:5" ht="45" customHeight="1">
      <c r="A125" s="4">
        <f ca="1">IFERROR(__xludf.DUMMYFUNCTION("""COMPUTED_VALUE"""),6.19)</f>
        <v>6.19</v>
      </c>
      <c r="B125" s="2">
        <f ca="1">IFERROR(__xludf.DUMMYFUNCTION("""COMPUTED_VALUE"""),202472894)</f>
        <v>202472894</v>
      </c>
      <c r="C125" s="2" t="str">
        <f ca="1">IFERROR(__xludf.DUMMYFUNCTION("""COMPUTED_VALUE"""),"""O`ZTEMIRYO`LYO`LOVCHI"" AJ")</f>
        <v>"O`ZTEMIRYO`LYO`LOVCHI" AJ</v>
      </c>
      <c r="D125" s="2">
        <f ca="1">IFERROR(__xludf.DUMMYFUNCTION("""COMPUTED_VALUE"""),12)</f>
        <v>12</v>
      </c>
      <c r="E125" s="2" t="str">
        <f ca="1">IFERROR(__xludf.DUMMYFUNCTION("""COMPUTED_VALUE"""),"TOSHKENT MARKAZIY VOKZAL FILIALI (ТОШКЕНТ МАРКАЗИЙ ВОКЗАЛ ФИЛИАЛИ)")</f>
        <v>TOSHKENT MARKAZIY VOKZAL FILIALI (ТОШКЕНТ МАРКАЗИЙ ВОКЗАЛ ФИЛИАЛИ)</v>
      </c>
    </row>
    <row r="126" spans="1:5" ht="45" customHeight="1">
      <c r="A126" s="4">
        <f ca="1">IFERROR(__xludf.DUMMYFUNCTION("""COMPUTED_VALUE"""),6.2)</f>
        <v>6.2</v>
      </c>
      <c r="B126" s="2">
        <f ca="1">IFERROR(__xludf.DUMMYFUNCTION("""COMPUTED_VALUE"""),202472894)</f>
        <v>202472894</v>
      </c>
      <c r="C126" s="2" t="str">
        <f ca="1">IFERROR(__xludf.DUMMYFUNCTION("""COMPUTED_VALUE"""),"""O`ZTEMIRYO`LYO`LOVCHI"" AJ")</f>
        <v>"O`ZTEMIRYO`LYO`LOVCHI" AJ</v>
      </c>
      <c r="D126" s="2">
        <f ca="1">IFERROR(__xludf.DUMMYFUNCTION("""COMPUTED_VALUE"""),11)</f>
        <v>11</v>
      </c>
      <c r="E126" s="2" t="str">
        <f ca="1">IFERROR(__xludf.DUMMYFUNCTION("""COMPUTED_VALUE"""),"САМАРКАНД ФИЛИАЛИ")</f>
        <v>САМАРКАНД ФИЛИАЛИ</v>
      </c>
    </row>
    <row r="127" spans="1:5" ht="45" customHeight="1">
      <c r="A127" s="4">
        <f ca="1">IFERROR(__xludf.DUMMYFUNCTION("""COMPUTED_VALUE"""),6.21)</f>
        <v>6.21</v>
      </c>
      <c r="B127" s="2">
        <f ca="1">IFERROR(__xludf.DUMMYFUNCTION("""COMPUTED_VALUE"""),202472894)</f>
        <v>202472894</v>
      </c>
      <c r="C127" s="2" t="str">
        <f ca="1">IFERROR(__xludf.DUMMYFUNCTION("""COMPUTED_VALUE"""),"""O`ZTEMIRYO`LYO`LOVCHI"" AJ")</f>
        <v>"O`ZTEMIRYO`LYO`LOVCHI" AJ</v>
      </c>
      <c r="D127" s="2">
        <f ca="1">IFERROR(__xludf.DUMMYFUNCTION("""COMPUTED_VALUE"""),10)</f>
        <v>10</v>
      </c>
      <c r="E127" s="2" t="str">
        <f ca="1">IFERROR(__xludf.DUMMYFUNCTION("""COMPUTED_VALUE"""),"TOSHKENT YO`LOVCHI TASHISHNI TASHKIL ETISH FILIALI (ТОШКЕНТ ЙУЛОВЧИ ТАШИШНИ ТАШКИЛ ЭТИШ ФИЛИАЛИ)")</f>
        <v>TOSHKENT YO`LOVCHI TASHISHNI TASHKIL ETISH FILIALI (ТОШКЕНТ ЙУЛОВЧИ ТАШИШНИ ТАШКИЛ ЭТИШ ФИЛИАЛИ)</v>
      </c>
    </row>
    <row r="128" spans="1:5" ht="45" customHeight="1">
      <c r="A128" s="4">
        <f ca="1">IFERROR(__xludf.DUMMYFUNCTION("""COMPUTED_VALUE"""),6.22)</f>
        <v>6.22</v>
      </c>
      <c r="B128" s="2">
        <f ca="1">IFERROR(__xludf.DUMMYFUNCTION("""COMPUTED_VALUE"""),202472894)</f>
        <v>202472894</v>
      </c>
      <c r="C128" s="2" t="str">
        <f ca="1">IFERROR(__xludf.DUMMYFUNCTION("""COMPUTED_VALUE"""),"""O`ZTEMIRYO`LYO`LOVCHI"" AJ")</f>
        <v>"O`ZTEMIRYO`LYO`LOVCHI" AJ</v>
      </c>
      <c r="D128" s="2">
        <f ca="1">IFERROR(__xludf.DUMMYFUNCTION("""COMPUTED_VALUE"""),9)</f>
        <v>9</v>
      </c>
      <c r="E128" s="2" t="str">
        <f ca="1">IFERROR(__xludf.DUMMYFUNCTION("""COMPUTED_VALUE"""),"FARG`ONA FILIALI (ФАРҒОНА ФИЛИАЛИ)")</f>
        <v>FARG`ONA FILIALI (ФАРҒОНА ФИЛИАЛИ)</v>
      </c>
    </row>
    <row r="129" spans="1:5" ht="45" customHeight="1">
      <c r="A129" s="4">
        <f ca="1">IFERROR(__xludf.DUMMYFUNCTION("""COMPUTED_VALUE"""),6.23)</f>
        <v>6.23</v>
      </c>
      <c r="B129" s="2">
        <f ca="1">IFERROR(__xludf.DUMMYFUNCTION("""COMPUTED_VALUE"""),202472894)</f>
        <v>202472894</v>
      </c>
      <c r="C129" s="2" t="str">
        <f ca="1">IFERROR(__xludf.DUMMYFUNCTION("""COMPUTED_VALUE"""),"""O`ZTEMIRYO`LYO`LOVCHI"" AJ")</f>
        <v>"O`ZTEMIRYO`LYO`LOVCHI" AJ</v>
      </c>
      <c r="D129" s="2">
        <f ca="1">IFERROR(__xludf.DUMMYFUNCTION("""COMPUTED_VALUE"""),8)</f>
        <v>8</v>
      </c>
      <c r="E129" s="2" t="str">
        <f ca="1">IFERROR(__xludf.DUMMYFUNCTION("""COMPUTED_VALUE"""),"OROL BO`YI FILIALI (ОРОЛ ФИЛИАЛИ)")</f>
        <v>OROL BO`YI FILIALI (ОРОЛ ФИЛИАЛИ)</v>
      </c>
    </row>
    <row r="130" spans="1:5" ht="45" customHeight="1">
      <c r="A130" s="4">
        <f ca="1">IFERROR(__xludf.DUMMYFUNCTION("""COMPUTED_VALUE"""),6.24)</f>
        <v>6.24</v>
      </c>
      <c r="B130" s="2">
        <f ca="1">IFERROR(__xludf.DUMMYFUNCTION("""COMPUTED_VALUE"""),202472894)</f>
        <v>202472894</v>
      </c>
      <c r="C130" s="2" t="str">
        <f ca="1">IFERROR(__xludf.DUMMYFUNCTION("""COMPUTED_VALUE"""),"""O`ZTEMIRYO`LYO`LOVCHI"" AJ")</f>
        <v>"O`ZTEMIRYO`LYO`LOVCHI" AJ</v>
      </c>
      <c r="D130" s="2">
        <f ca="1">IFERROR(__xludf.DUMMYFUNCTION("""COMPUTED_VALUE"""),7)</f>
        <v>7</v>
      </c>
      <c r="E130" s="2" t="str">
        <f ca="1">IFERROR(__xludf.DUMMYFUNCTION("""COMPUTED_VALUE"""),"XALQARO YO‘NALISHLARDA YO‘LOVCHILARGA XIZMAT KO‘RSATISH FILIALI  (ЛМС) ")</f>
        <v xml:space="preserve">XALQARO YO‘NALISHLARDA YO‘LOVCHILARGA XIZMAT KO‘RSATISH FILIALI  (ЛМС) </v>
      </c>
    </row>
    <row r="131" spans="1:5" ht="45" customHeight="1">
      <c r="A131" s="4">
        <f ca="1">IFERROR(__xludf.DUMMYFUNCTION("""COMPUTED_VALUE"""),6.25)</f>
        <v>6.25</v>
      </c>
      <c r="B131" s="2">
        <f ca="1">IFERROR(__xludf.DUMMYFUNCTION("""COMPUTED_VALUE"""),202472894)</f>
        <v>202472894</v>
      </c>
      <c r="C131" s="2" t="str">
        <f ca="1">IFERROR(__xludf.DUMMYFUNCTION("""COMPUTED_VALUE"""),"""O`ZTEMIRYO`LYO`LOVCHI"" AJ")</f>
        <v>"O`ZTEMIRYO`LYO`LOVCHI" AJ</v>
      </c>
      <c r="D131" s="2">
        <f ca="1">IFERROR(__xludf.DUMMYFUNCTION("""COMPUTED_VALUE"""),6)</f>
        <v>6</v>
      </c>
      <c r="E131" s="2" t="str">
        <f ca="1">IFERROR(__xludf.DUMMYFUNCTION("""COMPUTED_VALUE"""),"ХОРАЗМ ФИЛИАЛИ")</f>
        <v>ХОРАЗМ ФИЛИАЛИ</v>
      </c>
    </row>
    <row r="132" spans="1:5" ht="45" customHeight="1">
      <c r="A132" s="4">
        <f ca="1">IFERROR(__xludf.DUMMYFUNCTION("""COMPUTED_VALUE"""),6.26)</f>
        <v>6.26</v>
      </c>
      <c r="B132" s="2">
        <f ca="1">IFERROR(__xludf.DUMMYFUNCTION("""COMPUTED_VALUE"""),202472894)</f>
        <v>202472894</v>
      </c>
      <c r="C132" s="2" t="str">
        <f ca="1">IFERROR(__xludf.DUMMYFUNCTION("""COMPUTED_VALUE"""),"""O`ZTEMIRYO`LYO`LOVCHI"" AJ")</f>
        <v>"O`ZTEMIRYO`LYO`LOVCHI" AJ</v>
      </c>
      <c r="D132" s="2">
        <f ca="1">IFERROR(__xludf.DUMMYFUNCTION("""COMPUTED_VALUE"""),5)</f>
        <v>5</v>
      </c>
      <c r="E132" s="2" t="str">
        <f ca="1">IFERROR(__xludf.DUMMYFUNCTION("""COMPUTED_VALUE"""),"MAHALLIY YO‘NALISHLARDA YO‘LOVCHILARGA XIZMAT KO‘RSATISH FILIALI (ЛВС)")</f>
        <v>MAHALLIY YO‘NALISHLARDA YO‘LOVCHILARGA XIZMAT KO‘RSATISH FILIALI (ЛВС)</v>
      </c>
    </row>
    <row r="133" spans="1:5" ht="45" customHeight="1">
      <c r="A133" s="4">
        <f ca="1">IFERROR(__xludf.DUMMYFUNCTION("""COMPUTED_VALUE"""),6.27)</f>
        <v>6.27</v>
      </c>
      <c r="B133" s="2">
        <f ca="1">IFERROR(__xludf.DUMMYFUNCTION("""COMPUTED_VALUE"""),202472894)</f>
        <v>202472894</v>
      </c>
      <c r="C133" s="2" t="str">
        <f ca="1">IFERROR(__xludf.DUMMYFUNCTION("""COMPUTED_VALUE"""),"""O`ZTEMIRYO`LYO`LOVCHI"" AJ")</f>
        <v>"O`ZTEMIRYO`LYO`LOVCHI" AJ</v>
      </c>
      <c r="D133" s="2">
        <f ca="1">IFERROR(__xludf.DUMMYFUNCTION("""COMPUTED_VALUE"""),4)</f>
        <v>4</v>
      </c>
      <c r="E133" s="2" t="str">
        <f ca="1">IFERROR(__xludf.DUMMYFUNCTION("""COMPUTED_VALUE"""),"БИНО,ИНШООТ ВА ЖИХОЗЛАРНИ ТАЪМИНЛАШ ДИРЕКЦИЯСИ")</f>
        <v>БИНО,ИНШООТ ВА ЖИХОЗЛАРНИ ТАЪМИНЛАШ ДИРЕКЦИЯСИ</v>
      </c>
    </row>
    <row r="134" spans="1:5" ht="45" customHeight="1">
      <c r="A134" s="4">
        <f ca="1">IFERROR(__xludf.DUMMYFUNCTION("""COMPUTED_VALUE"""),6.28)</f>
        <v>6.28</v>
      </c>
      <c r="B134" s="2">
        <f ca="1">IFERROR(__xludf.DUMMYFUNCTION("""COMPUTED_VALUE"""),202472894)</f>
        <v>202472894</v>
      </c>
      <c r="C134" s="2" t="str">
        <f ca="1">IFERROR(__xludf.DUMMYFUNCTION("""COMPUTED_VALUE"""),"""O`ZTEMIRYO`LYO`LOVCHI"" AJ")</f>
        <v>"O`ZTEMIRYO`LYO`LOVCHI" AJ</v>
      </c>
      <c r="D134" s="2">
        <f ca="1">IFERROR(__xludf.DUMMYFUNCTION("""COMPUTED_VALUE"""),3)</f>
        <v>3</v>
      </c>
      <c r="E134" s="2" t="str">
        <f ca="1">IFERROR(__xludf.DUMMYFUNCTION("""COMPUTED_VALUE"""),"YO`LOVCHI VAGONLARINI REYSGA TEXNIK VA TEXNOLOGIK TAYYORLASH FILIALI (ВЧД-2)")</f>
        <v>YO`LOVCHI VAGONLARINI REYSGA TEXNIK VA TEXNOLOGIK TAYYORLASH FILIALI (ВЧД-2)</v>
      </c>
    </row>
    <row r="135" spans="1:5" ht="45" customHeight="1">
      <c r="A135" s="4">
        <f ca="1">IFERROR(__xludf.DUMMYFUNCTION("""COMPUTED_VALUE"""),6.29)</f>
        <v>6.29</v>
      </c>
      <c r="B135" s="2">
        <f ca="1">IFERROR(__xludf.DUMMYFUNCTION("""COMPUTED_VALUE"""),202472894)</f>
        <v>202472894</v>
      </c>
      <c r="C135" s="2" t="str">
        <f ca="1">IFERROR(__xludf.DUMMYFUNCTION("""COMPUTED_VALUE"""),"""O`ZTEMIRYO`LYO`LOVCHI"" AJ")</f>
        <v>"O`ZTEMIRYO`LYO`LOVCHI" AJ</v>
      </c>
      <c r="D135" s="2">
        <f ca="1">IFERROR(__xludf.DUMMYFUNCTION("""COMPUTED_VALUE"""),2)</f>
        <v>2</v>
      </c>
      <c r="E135" s="2" t="str">
        <f ca="1">IFERROR(__xludf.DUMMYFUNCTION("""COMPUTED_VALUE"""),"БУХОРО ФИЛИАЛИ")</f>
        <v>БУХОРО ФИЛИАЛИ</v>
      </c>
    </row>
    <row r="136" spans="1:5" ht="45" customHeight="1">
      <c r="A136" s="6"/>
      <c r="B136" s="3"/>
      <c r="C136" s="3"/>
      <c r="D136" s="3"/>
      <c r="E136" s="3"/>
    </row>
    <row r="137" spans="1:5" ht="45" customHeight="1">
      <c r="A137" s="4">
        <f ca="1">IFERROR(__xludf.DUMMYFUNCTION("""COMPUTED_VALUE"""),7.11)</f>
        <v>7.11</v>
      </c>
      <c r="B137" s="2">
        <f ca="1">IFERROR(__xludf.DUMMYFUNCTION("""COMPUTED_VALUE"""),310916396)</f>
        <v>310916396</v>
      </c>
      <c r="C137" s="2" t="str">
        <f ca="1">IFERROR(__xludf.DUMMYFUNCTION("""COMPUTED_VALUE"""),"TEMIR YO‘L VOKZALLARI MCHJ")</f>
        <v>TEMIR YO‘L VOKZALLARI MCHJ</v>
      </c>
      <c r="D137" s="3"/>
      <c r="E137" s="2" t="str">
        <f ca="1">IFERROR(__xludf.DUMMYFUNCTION("""COMPUTED_VALUE"""),"ТЕМИРЙЛ ВОКЗАЛЛАРИ МЧЖ  (Ташкент центральный,Карш,Жиззах)")</f>
        <v>ТЕМИРЙЛ ВОКЗАЛЛАРИ МЧЖ  (Ташкент центральный,Карш,Жиззах)</v>
      </c>
    </row>
    <row r="138" spans="1:5" ht="45" customHeight="1">
      <c r="A138" s="4">
        <f ca="1">IFERROR(__xludf.DUMMYFUNCTION("""COMPUTED_VALUE"""),7.12)</f>
        <v>7.12</v>
      </c>
      <c r="B138" s="2">
        <f ca="1">IFERROR(__xludf.DUMMYFUNCTION("""COMPUTED_VALUE"""),200846104)</f>
        <v>200846104</v>
      </c>
      <c r="C138" s="2" t="str">
        <f ca="1">IFERROR(__xludf.DUMMYFUNCTION("""COMPUTED_VALUE"""),"""14-SON RELS PAYVANDLASH POEZDI"" MCHJ")</f>
        <v>"14-SON RELS PAYVANDLASH POEZDI" MCHJ</v>
      </c>
      <c r="D138" s="3"/>
      <c r="E138" s="2" t="str">
        <f ca="1">IFERROR(__xludf.DUMMYFUNCTION("""COMPUTED_VALUE"""),"""14-SON RELS PAYVANDLASH POEZDI"" MCHJ (14-РСП)")</f>
        <v>"14-SON RELS PAYVANDLASH POEZDI" MCHJ (14-РСП)</v>
      </c>
    </row>
    <row r="139" spans="1:5" ht="45" customHeight="1">
      <c r="A139" s="4">
        <f ca="1">IFERROR(__xludf.DUMMYFUNCTION("""COMPUTED_VALUE"""),7.13)</f>
        <v>7.13</v>
      </c>
      <c r="B139" s="2">
        <f ca="1">IFERROR(__xludf.DUMMYFUNCTION("""COMPUTED_VALUE"""),200663396)</f>
        <v>200663396</v>
      </c>
      <c r="C139" s="2" t="str">
        <f ca="1">IFERROR(__xludf.DUMMYFUNCTION("""COMPUTED_VALUE"""),"""QUYUV-MEXANIKA ZAVODI"" AJ")</f>
        <v>"QUYUV-MEXANIKA ZAVODI" AJ</v>
      </c>
      <c r="D139" s="3"/>
      <c r="E139" s="2" t="str">
        <f ca="1">IFERROR(__xludf.DUMMYFUNCTION("""COMPUTED_VALUE"""),"""QUYUV-MEXANIKA ZAVODI"" AJ (ҚУЮВ МЕХАНИКА ЗАВОДИ ,ЛМЗ ,КМЗ)")</f>
        <v>"QUYUV-MEXANIKA ZAVODI" AJ (ҚУЮВ МЕХАНИКА ЗАВОДИ ,ЛМЗ ,КМЗ)</v>
      </c>
    </row>
    <row r="140" spans="1:5" ht="45" customHeight="1">
      <c r="A140" s="4">
        <f ca="1">IFERROR(__xludf.DUMMYFUNCTION("""COMPUTED_VALUE"""),7.14)</f>
        <v>7.14</v>
      </c>
      <c r="B140" s="2">
        <f ca="1">IFERROR(__xludf.DUMMYFUNCTION("""COMPUTED_VALUE"""),203507673)</f>
        <v>203507673</v>
      </c>
      <c r="C140" s="2" t="str">
        <f ca="1">IFERROR(__xludf.DUMMYFUNCTION("""COMPUTED_VALUE"""),"""TOSHKENT YO`LOVCHI VAGONLARINI QURISH VA TA`MIRLASH ZAVODI"" AJ")</f>
        <v>"TOSHKENT YO`LOVCHI VAGONLARINI QURISH VA TA`MIRLASH ZAVODI" AJ</v>
      </c>
      <c r="D140" s="3"/>
      <c r="E140" s="2" t="str">
        <f ca="1">IFERROR(__xludf.DUMMYFUNCTION("""COMPUTED_VALUE"""),"""TOSHKENT YO`LOVCHI VAGONLARINI QURISH VA TA`MIRLASH ZAVODI"" AJ (ТВРЗ ТЙВКТЗ)")</f>
        <v>"TOSHKENT YO`LOVCHI VAGONLARINI QURISH VA TA`MIRLASH ZAVODI" AJ (ТВРЗ ТЙВКТЗ)</v>
      </c>
    </row>
    <row r="141" spans="1:5" ht="45" customHeight="1">
      <c r="A141" s="4">
        <f ca="1">IFERROR(__xludf.DUMMYFUNCTION("""COMPUTED_VALUE"""),7.15)</f>
        <v>7.15</v>
      </c>
      <c r="B141" s="2">
        <f ca="1">IFERROR(__xludf.DUMMYFUNCTION("""COMPUTED_VALUE"""),203195074)</f>
        <v>203195074</v>
      </c>
      <c r="C141" s="2" t="str">
        <f ca="1">IFERROR(__xludf.DUMMYFUNCTION("""COMPUTED_VALUE"""),"""SHURTAN GAZ KIMYO MAJMUASI"" MCHJ")</f>
        <v>"SHURTAN GAZ KIMYO MAJMUASI" MCHJ</v>
      </c>
      <c r="D141" s="3"/>
      <c r="E141" s="2" t="str">
        <f ca="1">IFERROR(__xludf.DUMMYFUNCTION("""COMPUTED_VALUE"""),"""SHURTAN GAZ KIMYO MAJMUASI"" MCHJ")</f>
        <v>"SHURTAN GAZ KIMYO MAJMUASI" MCHJ</v>
      </c>
    </row>
    <row r="142" spans="1:5" ht="45" customHeight="1">
      <c r="A142" s="4">
        <f ca="1">IFERROR(__xludf.DUMMYFUNCTION("""COMPUTED_VALUE"""),7.16)</f>
        <v>7.16</v>
      </c>
      <c r="B142" s="2">
        <f ca="1">IFERROR(__xludf.DUMMYFUNCTION("""COMPUTED_VALUE"""),200796057)</f>
        <v>200796057</v>
      </c>
      <c r="C142" s="2" t="str">
        <f ca="1">IFERROR(__xludf.DUMMYFUNCTION("""COMPUTED_VALUE"""),"""1-SON ENERGOMONTAJ POEZDI"" MCHJ")</f>
        <v>"1-SON ENERGOMONTAJ POEZDI" MCHJ</v>
      </c>
      <c r="D142" s="3"/>
      <c r="E142" s="2" t="str">
        <f ca="1">IFERROR(__xludf.DUMMYFUNCTION("""COMPUTED_VALUE"""),"""1-SON ENERGOMONTAJ POEZDI"" MCHJ (ЭП-1) ")</f>
        <v xml:space="preserve">"1-SON ENERGOMONTAJ POEZDI" MCHJ (ЭП-1) </v>
      </c>
    </row>
    <row r="143" spans="1:5" ht="45" customHeight="1">
      <c r="A143" s="4">
        <f ca="1">IFERROR(__xludf.DUMMYFUNCTION("""COMPUTED_VALUE"""),7.17)</f>
        <v>7.17</v>
      </c>
      <c r="B143" s="2">
        <f ca="1">IFERROR(__xludf.DUMMYFUNCTION("""COMPUTED_VALUE"""),200837470)</f>
        <v>200837470</v>
      </c>
      <c r="C143" s="2" t="str">
        <f ca="1">IFERROR(__xludf.DUMMYFUNCTION("""COMPUTED_VALUE"""),"""TOSHKENT MEXANIKA ZAVODI"" AJ")</f>
        <v>"TOSHKENT MEXANIKA ZAVODI" AJ</v>
      </c>
      <c r="D143" s="2">
        <f ca="1">IFERROR(__xludf.DUMMYFUNCTION("""COMPUTED_VALUE"""),1)</f>
        <v>1</v>
      </c>
      <c r="E143" s="2" t="str">
        <f ca="1">IFERROR(__xludf.DUMMYFUNCTION("""COMPUTED_VALUE"""),"""TOSHKENT MEXANIKA ZAVODI"" AJ (ТОШКЕНТ МЕХАНИКА ЗАВОДИ,ТМЗ)")</f>
        <v>"TOSHKENT MEXANIKA ZAVODI" AJ (ТОШКЕНТ МЕХАНИКА ЗАВОДИ,ТМЗ)</v>
      </c>
    </row>
    <row r="144" spans="1:5" ht="45" customHeight="1">
      <c r="A144" s="4">
        <f ca="1">IFERROR(__xludf.DUMMYFUNCTION("""COMPUTED_VALUE"""),7.18)</f>
        <v>7.18</v>
      </c>
      <c r="B144" s="2">
        <f ca="1">IFERROR(__xludf.DUMMYFUNCTION("""COMPUTED_VALUE"""),311101414)</f>
        <v>311101414</v>
      </c>
      <c r="C144" s="2" t="str">
        <f ca="1">IFERROR(__xludf.DUMMYFUNCTION("""COMPUTED_VALUE"""),"""TEMIRYO‘LKARGO"" AJ")</f>
        <v>"TEMIRYO‘LKARGO" AJ</v>
      </c>
      <c r="D144" s="3"/>
      <c r="E144" s="2" t="str">
        <f ca="1">IFERROR(__xludf.DUMMYFUNCTION("""COMPUTED_VALUE"""),"""TEMIRYO‘LKARGO"" AJ (ТЕМИРЙУЛКАРГО)")</f>
        <v>"TEMIRYO‘LKARGO" AJ (ТЕМИРЙУЛКАРГО)</v>
      </c>
    </row>
    <row r="145" spans="1:5" ht="45" customHeight="1">
      <c r="A145" s="4">
        <f ca="1">IFERROR(__xludf.DUMMYFUNCTION("""COMPUTED_VALUE"""),7.19)</f>
        <v>7.19</v>
      </c>
      <c r="B145" s="2">
        <f ca="1">IFERROR(__xludf.DUMMYFUNCTION("""COMPUTED_VALUE"""),310921201)</f>
        <v>310921201</v>
      </c>
      <c r="C145" s="2" t="str">
        <f ca="1">IFERROR(__xludf.DUMMYFUNCTION("""COMPUTED_VALUE"""),"""TEMIRYO‘LEKSPRESS"" AJ")</f>
        <v>"TEMIRYO‘LEKSPRESS" AJ</v>
      </c>
      <c r="D145" s="3"/>
      <c r="E145" s="2" t="str">
        <f ca="1">IFERROR(__xludf.DUMMYFUNCTION("""COMPUTED_VALUE"""),"""TEMIRYO‘LEKSPRESS"" AJ (ТЕМИРЙУЛЭКСПРЕСС)")</f>
        <v>"TEMIRYO‘LEKSPRESS" AJ (ТЕМИРЙУЛЭКСПРЕСС)</v>
      </c>
    </row>
    <row r="146" spans="1:5" ht="45" customHeight="1">
      <c r="A146" s="4">
        <f ca="1">IFERROR(__xludf.DUMMYFUNCTION("""COMPUTED_VALUE"""),7.2)</f>
        <v>7.2</v>
      </c>
      <c r="B146" s="2">
        <f ca="1">IFERROR(__xludf.DUMMYFUNCTION("""COMPUTED_VALUE"""),203607858)</f>
        <v>203607858</v>
      </c>
      <c r="C146" s="2" t="str">
        <f ca="1">IFERROR(__xludf.DUMMYFUNCTION("""COMPUTED_VALUE"""),"""O‘ZTEMIRYO‘LKONTEYNER"" AJ")</f>
        <v>"O‘ZTEMIRYO‘LKONTEYNER" AJ</v>
      </c>
      <c r="D146" s="3"/>
      <c r="E146" s="2" t="str">
        <f ca="1">IFERROR(__xludf.DUMMYFUNCTION("""COMPUTED_VALUE"""),"""O‘ZTEMIRYO‘LKONTEYNER"" AJ (Узтемирйулконтейнер)")</f>
        <v>"O‘ZTEMIRYO‘LKONTEYNER" AJ (Узтемирйулконтейнер)</v>
      </c>
    </row>
    <row r="147" spans="1:5" ht="45" customHeight="1">
      <c r="A147" s="4">
        <f ca="1">IFERROR(__xludf.DUMMYFUNCTION("""COMPUTED_VALUE"""),7.21)</f>
        <v>7.21</v>
      </c>
      <c r="B147" s="2">
        <f ca="1">IFERROR(__xludf.DUMMYFUNCTION("""COMPUTED_VALUE"""),201051864)</f>
        <v>201051864</v>
      </c>
      <c r="C147" s="2" t="str">
        <f ca="1">IFERROR(__xludf.DUMMYFUNCTION("""COMPUTED_VALUE"""),"""O`ZTEMIRYO`LMASHTA`MIR"" AJ")</f>
        <v>"O`ZTEMIRYO`LMASHTA`MIR" AJ</v>
      </c>
      <c r="D147" s="3"/>
      <c r="E147" s="2" t="str">
        <f ca="1">IFERROR(__xludf.DUMMYFUNCTION("""COMPUTED_VALUE"""),"""O`ZTEMIRYO`LMASHTA`MIR"" AJ (ТРЗ Узтемирйулмаштаъмир)")</f>
        <v>"O`ZTEMIRYO`LMASHTA`MIR" AJ (ТРЗ Узтемирйулмаштаъмир)</v>
      </c>
    </row>
    <row r="148" spans="1:5" ht="45" customHeight="1">
      <c r="A148" s="4">
        <f ca="1">IFERROR(__xludf.DUMMYFUNCTION("""COMPUTED_VALUE"""),7.22)</f>
        <v>7.22</v>
      </c>
      <c r="B148" s="2">
        <f ca="1">IFERROR(__xludf.DUMMYFUNCTION("""COMPUTED_VALUE"""),200849210)</f>
        <v>200849210</v>
      </c>
      <c r="C148" s="2" t="str">
        <f ca="1">IFERROR(__xludf.DUMMYFUNCTION("""COMPUTED_VALUE"""),"""1-SON QURILISH-MONTAJ POYEZDI"" MCHJ")</f>
        <v>"1-SON QURILISH-MONTAJ POYEZDI" MCHJ</v>
      </c>
      <c r="D148" s="3"/>
      <c r="E148" s="2" t="str">
        <f ca="1">IFERROR(__xludf.DUMMYFUNCTION("""COMPUTED_VALUE"""),"""1-SON QURILISH-MONTAJ POYEZDI"" MCHJ (1-ҚУРИЛИШ МОНТАЖ ПОЕЗДИ)")</f>
        <v>"1-SON QURILISH-MONTAJ POYEZDI" MCHJ (1-ҚУРИЛИШ МОНТАЖ ПОЕЗДИ)</v>
      </c>
    </row>
    <row r="149" spans="1:5" ht="45" customHeight="1">
      <c r="A149" s="4">
        <f ca="1">IFERROR(__xludf.DUMMYFUNCTION("""COMPUTED_VALUE"""),7.23)</f>
        <v>7.23</v>
      </c>
      <c r="B149" s="2">
        <f ca="1">IFERROR(__xludf.DUMMYFUNCTION("""COMPUTED_VALUE"""),304641964)</f>
        <v>304641964</v>
      </c>
      <c r="C149" s="2" t="str">
        <f ca="1">IFERROR(__xludf.DUMMYFUNCTION("""COMPUTED_VALUE"""),"UGAM-CHOTQOL DAVLAT BIOSFERA REZERVATI UK")</f>
        <v>UGAM-CHOTQOL DAVLAT BIOSFERA REZERVATI UK</v>
      </c>
      <c r="D149" s="3"/>
      <c r="E149" s="2" t="str">
        <f ca="1">IFERROR(__xludf.DUMMYFUNCTION("""COMPUTED_VALUE"""),"UGAM-CHOTQOL DAVLAT BIOSFERA REZERVATI UK (Угам чоткол давлат биосфера резервати УК)")</f>
        <v>UGAM-CHOTQOL DAVLAT BIOSFERA REZERVATI UK (Угам чоткол давлат биосфера резервати УК)</v>
      </c>
    </row>
    <row r="150" spans="1:5" ht="45" customHeight="1">
      <c r="A150" s="4">
        <f ca="1">IFERROR(__xludf.DUMMYFUNCTION("""COMPUTED_VALUE"""),7.24)</f>
        <v>7.24</v>
      </c>
      <c r="B150" s="2">
        <f ca="1">IFERROR(__xludf.DUMMYFUNCTION("""COMPUTED_VALUE"""),207109366)</f>
        <v>207109366</v>
      </c>
      <c r="C150" s="2" t="str">
        <f ca="1">IFERROR(__xludf.DUMMYFUNCTION("""COMPUTED_VALUE"""),"SOGDIANA TRANS MCHJ")</f>
        <v>SOGDIANA TRANS MCHJ</v>
      </c>
      <c r="D150" s="3"/>
      <c r="E150" s="2" t="str">
        <f ca="1">IFERROR(__xludf.DUMMYFUNCTION("""COMPUTED_VALUE"""),"SOGDIANA TRANS MCHJ (""Согдиана транс""МЧЖ) ")</f>
        <v xml:space="preserve">SOGDIANA TRANS MCHJ ("Согдиана транс"МЧЖ) </v>
      </c>
    </row>
    <row r="151" spans="1:5" ht="45" customHeight="1">
      <c r="A151" s="4">
        <f ca="1">IFERROR(__xludf.DUMMYFUNCTION("""COMPUTED_VALUE"""),7.25)</f>
        <v>7.25</v>
      </c>
      <c r="B151" s="3">
        <f ca="1">IFERROR(__xludf.DUMMYFUNCTION("""COMPUTED_VALUE"""),201534405)</f>
        <v>201534405</v>
      </c>
      <c r="C151" s="2" t="str">
        <f ca="1">IFERROR(__xludf.DUMMYFUNCTION("""COMPUTED_VALUE"""),"""O‘ZTEMIRYO‘LEKSPEDITSIYA"" MCHJ")</f>
        <v>"O‘ZTEMIRYO‘LEKSPEDITSIYA" MCHJ</v>
      </c>
      <c r="D151" s="3"/>
      <c r="E151" s="2" t="str">
        <f ca="1">IFERROR(__xludf.DUMMYFUNCTION("""COMPUTED_VALUE"""),"O‘ZTEMIRYO‘LEKSPEDITSIYA MCHJ")</f>
        <v>O‘ZTEMIRYO‘LEKSPEDITSIYA MCHJ</v>
      </c>
    </row>
    <row r="152" spans="1:5" ht="45" customHeight="1">
      <c r="A152" s="6">
        <f ca="1">IFERROR(__xludf.DUMMYFUNCTION("""COMPUTED_VALUE"""),7.26)</f>
        <v>7.26</v>
      </c>
      <c r="B152" s="3"/>
      <c r="C152" s="3" t="str">
        <f ca="1">IFERROR(__xludf.DUMMYFUNCTION("""COMPUTED_VALUE"""),"МЧЖ ""Eyvalek Technolgy""")</f>
        <v>МЧЖ "Eyvalek Technolgy"</v>
      </c>
      <c r="D152" s="3"/>
      <c r="E152" s="3" t="str">
        <f ca="1">IFERROR(__xludf.DUMMYFUNCTION("""COMPUTED_VALUE"""),"МЧЖ ""Eyvalek Technolgy""")</f>
        <v>МЧЖ "Eyvalek Technolgy"</v>
      </c>
    </row>
    <row r="153" spans="1:5" ht="45" customHeight="1">
      <c r="A153" s="4">
        <f ca="1">IFERROR(__xludf.DUMMYFUNCTION("""COMPUTED_VALUE"""),7.27)</f>
        <v>7.27</v>
      </c>
      <c r="B153" s="2"/>
      <c r="C153" s="2" t="str">
        <f ca="1">IFERROR(__xludf.DUMMYFUNCTION("""COMPUTED_VALUE"""),"МЧЖ ""ТОШТЕМИРЙУЛЛОЙХА""")</f>
        <v>МЧЖ "ТОШТЕМИРЙУЛЛОЙХА"</v>
      </c>
      <c r="D153" s="3"/>
      <c r="E153" s="2" t="str">
        <f ca="1">IFERROR(__xludf.DUMMYFUNCTION("""COMPUTED_VALUE"""),"МЧЖ ""ТОШТЕМИРЙУЛЛОЙХА""")</f>
        <v>МЧЖ "ТОШТЕМИРЙУЛЛОЙХА"</v>
      </c>
    </row>
    <row r="154" spans="1:5" ht="45" customHeight="1">
      <c r="A154" s="4"/>
      <c r="B154" s="2"/>
      <c r="C154" s="2"/>
      <c r="D154" s="3"/>
      <c r="E154" s="2"/>
    </row>
    <row r="155" spans="1:5" ht="45" customHeight="1">
      <c r="A155" s="4">
        <f ca="1">IFERROR(__xludf.DUMMYFUNCTION("""COMPUTED_VALUE"""),8.11)</f>
        <v>8.11</v>
      </c>
      <c r="B155" s="2">
        <f ca="1">IFERROR(__xludf.DUMMYFUNCTION("""COMPUTED_VALUE"""),203855194)</f>
        <v>203855194</v>
      </c>
      <c r="C155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55" s="3"/>
      <c r="E155" s="2" t="str">
        <f ca="1">IFERROR(__xludf.DUMMYFUNCTION("""COMPUTED_VALUE"""),""" TEMIR YO‘L IJTIMOIY XIZMATLAR"" DM (ТЕМИРЙУЛ ИЖТИМОИЙ ХИЗМАТЛАР ДМ) АППАРАТ")</f>
        <v>" TEMIR YO‘L IJTIMOIY XIZMATLAR" DM (ТЕМИРЙУЛ ИЖТИМОИЙ ХИЗМАТЛАР ДМ) АППАРАТ</v>
      </c>
    </row>
    <row r="156" spans="1:5" ht="45" customHeight="1">
      <c r="A156" s="4">
        <f ca="1">IFERROR(__xludf.DUMMYFUNCTION("""COMPUTED_VALUE"""),8.12)</f>
        <v>8.1199999999999992</v>
      </c>
      <c r="B156" s="2">
        <f ca="1">IFERROR(__xludf.DUMMYFUNCTION("""COMPUTED_VALUE"""),203855194)</f>
        <v>203855194</v>
      </c>
      <c r="C156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56" s="3"/>
      <c r="E156" s="2" t="str">
        <f ca="1">IFERROR(__xludf.DUMMYFUNCTION("""COMPUTED_VALUE"""),"МАРКАЗИЙ КЛИНИК КАСАЛХОНА")</f>
        <v>МАРКАЗИЙ КЛИНИК КАСАЛХОНА</v>
      </c>
    </row>
    <row r="157" spans="1:5" ht="45" customHeight="1">
      <c r="A157" s="4">
        <f ca="1">IFERROR(__xludf.DUMMYFUNCTION("""COMPUTED_VALUE"""),8.13)</f>
        <v>8.1300000000000008</v>
      </c>
      <c r="B157" s="2">
        <f ca="1">IFERROR(__xludf.DUMMYFUNCTION("""COMPUTED_VALUE"""),203855194)</f>
        <v>203855194</v>
      </c>
      <c r="C157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57" s="3"/>
      <c r="E157" s="2" t="str">
        <f ca="1">IFERROR(__xludf.DUMMYFUNCTION("""COMPUTED_VALUE"""),"ЙУЛ БОЛАЛАР КАСАЛХОНАСИ")</f>
        <v>ЙУЛ БОЛАЛАР КАСАЛХОНАСИ</v>
      </c>
    </row>
    <row r="158" spans="1:5" ht="45" customHeight="1">
      <c r="A158" s="4">
        <f ca="1">IFERROR(__xludf.DUMMYFUNCTION("""COMPUTED_VALUE"""),8.14)</f>
        <v>8.14</v>
      </c>
      <c r="B158" s="2">
        <f ca="1">IFERROR(__xludf.DUMMYFUNCTION("""COMPUTED_VALUE"""),203855194)</f>
        <v>203855194</v>
      </c>
      <c r="C158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58" s="3"/>
      <c r="E158" s="2" t="str">
        <f ca="1">IFERROR(__xludf.DUMMYFUNCTION("""COMPUTED_VALUE"""),"ҚЎҚОН ТЕМИР ЙУЛ ШИФОХОНАСИ")</f>
        <v>ҚЎҚОН ТЕМИР ЙУЛ ШИФОХОНАСИ</v>
      </c>
    </row>
    <row r="159" spans="1:5" ht="45" customHeight="1">
      <c r="A159" s="4">
        <f ca="1">IFERROR(__xludf.DUMMYFUNCTION("""COMPUTED_VALUE"""),8.15000000000001)</f>
        <v>8.1500000000000092</v>
      </c>
      <c r="B159" s="2">
        <f ca="1">IFERROR(__xludf.DUMMYFUNCTION("""COMPUTED_VALUE"""),203855194)</f>
        <v>203855194</v>
      </c>
      <c r="C159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59" s="3"/>
      <c r="E159" s="2" t="str">
        <f ca="1">IFERROR(__xludf.DUMMYFUNCTION("""COMPUTED_VALUE"""),"АНДИЖОН ТЕМИР ЙУЛ ШИФОХОНАСИ")</f>
        <v>АНДИЖОН ТЕМИР ЙУЛ ШИФОХОНАСИ</v>
      </c>
    </row>
    <row r="160" spans="1:5" ht="45" customHeight="1">
      <c r="A160" s="4">
        <f ca="1">IFERROR(__xludf.DUMMYFUNCTION("""COMPUTED_VALUE"""),8.16000000000001)</f>
        <v>8.1600000000000108</v>
      </c>
      <c r="B160" s="2">
        <f ca="1">IFERROR(__xludf.DUMMYFUNCTION("""COMPUTED_VALUE"""),203855194)</f>
        <v>203855194</v>
      </c>
      <c r="C160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0" s="3"/>
      <c r="E160" s="2" t="str">
        <f ca="1">IFERROR(__xludf.DUMMYFUNCTION("""COMPUTED_VALUE"""),"САМАРКАНД ТЕМИР ЙУЛ ШИФОХОНАСИ")</f>
        <v>САМАРКАНД ТЕМИР ЙУЛ ШИФОХОНАСИ</v>
      </c>
    </row>
    <row r="161" spans="1:5" ht="45" customHeight="1">
      <c r="A161" s="4">
        <f ca="1">IFERROR(__xludf.DUMMYFUNCTION("""COMPUTED_VALUE"""),8.17000000000001)</f>
        <v>8.1700000000000106</v>
      </c>
      <c r="B161" s="2">
        <f ca="1">IFERROR(__xludf.DUMMYFUNCTION("""COMPUTED_VALUE"""),203855194)</f>
        <v>203855194</v>
      </c>
      <c r="C161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1" s="3"/>
      <c r="E161" s="2" t="str">
        <f ca="1">IFERROR(__xludf.DUMMYFUNCTION("""COMPUTED_VALUE"""),"БУХОРО ТЕМИР ЙУЛ ШИФОХОНАСИ")</f>
        <v>БУХОРО ТЕМИР ЙУЛ ШИФОХОНАСИ</v>
      </c>
    </row>
    <row r="162" spans="1:5" ht="45" customHeight="1">
      <c r="A162" s="4">
        <f ca="1">IFERROR(__xludf.DUMMYFUNCTION("""COMPUTED_VALUE"""),8.18000000000001)</f>
        <v>8.1800000000000104</v>
      </c>
      <c r="B162" s="2">
        <f ca="1">IFERROR(__xludf.DUMMYFUNCTION("""COMPUTED_VALUE"""),203855194)</f>
        <v>203855194</v>
      </c>
      <c r="C162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2" s="3"/>
      <c r="E162" s="2" t="str">
        <f ca="1">IFERROR(__xludf.DUMMYFUNCTION("""COMPUTED_VALUE"""),"ҚАРШИ ТЕМИР ЙУЛ ШИФОХОНАСИ")</f>
        <v>ҚАРШИ ТЕМИР ЙУЛ ШИФОХОНАСИ</v>
      </c>
    </row>
    <row r="163" spans="1:5" ht="45" customHeight="1">
      <c r="A163" s="4">
        <f ca="1">IFERROR(__xludf.DUMMYFUNCTION("""COMPUTED_VALUE"""),8.19000000000001)</f>
        <v>8.1900000000000102</v>
      </c>
      <c r="B163" s="2">
        <f ca="1">IFERROR(__xludf.DUMMYFUNCTION("""COMPUTED_VALUE"""),203855194)</f>
        <v>203855194</v>
      </c>
      <c r="C163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3" s="3"/>
      <c r="E163" s="2" t="str">
        <f ca="1">IFERROR(__xludf.DUMMYFUNCTION("""COMPUTED_VALUE"""),"ТЕРМИЗ ТЕМИР ЙУЛ ШИФОХОНАСИ")</f>
        <v>ТЕРМИЗ ТЕМИР ЙУЛ ШИФОХОНАСИ</v>
      </c>
    </row>
    <row r="164" spans="1:5" ht="45" customHeight="1">
      <c r="A164" s="4">
        <f ca="1">IFERROR(__xludf.DUMMYFUNCTION("""COMPUTED_VALUE"""),8.20000000000001)</f>
        <v>8.2000000000000099</v>
      </c>
      <c r="B164" s="2">
        <f ca="1">IFERROR(__xludf.DUMMYFUNCTION("""COMPUTED_VALUE"""),203855194)</f>
        <v>203855194</v>
      </c>
      <c r="C164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4" s="3"/>
      <c r="E164" s="2" t="str">
        <f ca="1">IFERROR(__xludf.DUMMYFUNCTION("""COMPUTED_VALUE"""),"УРГАНЧ ТЕМИР ЙУЛ ШИФОХОНАСИ")</f>
        <v>УРГАНЧ ТЕМИР ЙУЛ ШИФОХОНАСИ</v>
      </c>
    </row>
    <row r="165" spans="1:5" ht="45" customHeight="1">
      <c r="A165" s="4">
        <f ca="1">IFERROR(__xludf.DUMMYFUNCTION("""COMPUTED_VALUE"""),8.21000000000002)</f>
        <v>8.2100000000000204</v>
      </c>
      <c r="B165" s="2">
        <f ca="1">IFERROR(__xludf.DUMMYFUNCTION("""COMPUTED_VALUE"""),203855194)</f>
        <v>203855194</v>
      </c>
      <c r="C165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5" s="3"/>
      <c r="E165" s="2" t="str">
        <f ca="1">IFERROR(__xludf.DUMMYFUNCTION("""COMPUTED_VALUE"""),"ҚЎНҒИРОТ ТЕМИР ЙУЛ ШИФОХОНАСИ")</f>
        <v>ҚЎНҒИРОТ ТЕМИР ЙУЛ ШИФОХОНАСИ</v>
      </c>
    </row>
    <row r="166" spans="1:5" ht="45" customHeight="1">
      <c r="A166" s="4">
        <f ca="1">IFERROR(__xludf.DUMMYFUNCTION("""COMPUTED_VALUE"""),8.22000000000002)</f>
        <v>8.2200000000000202</v>
      </c>
      <c r="B166" s="2">
        <f ca="1">IFERROR(__xludf.DUMMYFUNCTION("""COMPUTED_VALUE"""),203855194)</f>
        <v>203855194</v>
      </c>
      <c r="C166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6" s="3"/>
      <c r="E166" s="2" t="str">
        <f ca="1">IFERROR(__xludf.DUMMYFUNCTION("""COMPUTED_VALUE"""),"МЧЖ ХОВОС ТЕМИРЙУЛ ШИФОХОНАСИ")</f>
        <v>МЧЖ ХОВОС ТЕМИРЙУЛ ШИФОХОНАСИ</v>
      </c>
    </row>
    <row r="167" spans="1:5" ht="45" customHeight="1">
      <c r="A167" s="4">
        <f ca="1">IFERROR(__xludf.DUMMYFUNCTION("""COMPUTED_VALUE"""),8.23000000000002)</f>
        <v>8.23000000000002</v>
      </c>
      <c r="B167" s="2">
        <f ca="1">IFERROR(__xludf.DUMMYFUNCTION("""COMPUTED_VALUE"""),203855194)</f>
        <v>203855194</v>
      </c>
      <c r="C167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7" s="3"/>
      <c r="E167" s="2" t="str">
        <f ca="1">IFERROR(__xludf.DUMMYFUNCTION("""COMPUTED_VALUE"""),"МАРКАЗИЙ ПОЛИКЛИНИКА")</f>
        <v>МАРКАЗИЙ ПОЛИКЛИНИКА</v>
      </c>
    </row>
    <row r="168" spans="1:5" ht="45" customHeight="1">
      <c r="A168" s="4">
        <f ca="1">IFERROR(__xludf.DUMMYFUNCTION("""COMPUTED_VALUE"""),8.24000000000002)</f>
        <v>8.2400000000000198</v>
      </c>
      <c r="B168" s="2">
        <f ca="1">IFERROR(__xludf.DUMMYFUNCTION("""COMPUTED_VALUE"""),203855194)</f>
        <v>203855194</v>
      </c>
      <c r="C168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8" s="3"/>
      <c r="E168" s="2" t="str">
        <f ca="1">IFERROR(__xludf.DUMMYFUNCTION("""COMPUTED_VALUE"""),"САЛОМАТЛИК ТСЁП")</f>
        <v>САЛОМАТЛИК ТСЁП</v>
      </c>
    </row>
    <row r="169" spans="1:5" ht="45" customHeight="1">
      <c r="A169" s="4">
        <f ca="1">IFERROR(__xludf.DUMMYFUNCTION("""COMPUTED_VALUE"""),8.25000000000002)</f>
        <v>8.2500000000000195</v>
      </c>
      <c r="B169" s="2">
        <f ca="1">IFERROR(__xludf.DUMMYFUNCTION("""COMPUTED_VALUE"""),203855194)</f>
        <v>203855194</v>
      </c>
      <c r="C169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69" s="3"/>
      <c r="E169" s="2" t="str">
        <f ca="1">IFERROR(__xludf.DUMMYFUNCTION("""COMPUTED_VALUE"""),"МАРКАЗИЙ СЭС")</f>
        <v>МАРКАЗИЙ СЭС</v>
      </c>
    </row>
    <row r="170" spans="1:5" ht="45" customHeight="1">
      <c r="A170" s="4">
        <f ca="1">IFERROR(__xludf.DUMMYFUNCTION("""COMPUTED_VALUE"""),8.26000000000002)</f>
        <v>8.2600000000000193</v>
      </c>
      <c r="B170" s="2">
        <f ca="1">IFERROR(__xludf.DUMMYFUNCTION("""COMPUTED_VALUE"""),203855194)</f>
        <v>203855194</v>
      </c>
      <c r="C170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0" s="3"/>
      <c r="E170" s="2" t="str">
        <f ca="1">IFERROR(__xludf.DUMMYFUNCTION("""COMPUTED_VALUE"""),"ҚЎҚОН ТАРМОҚ СЭС")</f>
        <v>ҚЎҚОН ТАРМОҚ СЭС</v>
      </c>
    </row>
    <row r="171" spans="1:5" ht="45" customHeight="1">
      <c r="A171" s="4">
        <f ca="1">IFERROR(__xludf.DUMMYFUNCTION("""COMPUTED_VALUE"""),8.27000000000003)</f>
        <v>8.2700000000000298</v>
      </c>
      <c r="B171" s="2">
        <f ca="1">IFERROR(__xludf.DUMMYFUNCTION("""COMPUTED_VALUE"""),203855194)</f>
        <v>203855194</v>
      </c>
      <c r="C171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1" s="3"/>
      <c r="E171" s="2" t="str">
        <f ca="1">IFERROR(__xludf.DUMMYFUNCTION("""COMPUTED_VALUE"""),"САМАРКАНД ТАРМОҚ СЭС")</f>
        <v>САМАРКАНД ТАРМОҚ СЭС</v>
      </c>
    </row>
    <row r="172" spans="1:5" ht="45" customHeight="1">
      <c r="A172" s="4">
        <f ca="1">IFERROR(__xludf.DUMMYFUNCTION("""COMPUTED_VALUE"""),8.28000000000003)</f>
        <v>8.2800000000000296</v>
      </c>
      <c r="B172" s="2">
        <f ca="1">IFERROR(__xludf.DUMMYFUNCTION("""COMPUTED_VALUE"""),203855194)</f>
        <v>203855194</v>
      </c>
      <c r="C172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2" s="3"/>
      <c r="E172" s="2" t="str">
        <f ca="1">IFERROR(__xludf.DUMMYFUNCTION("""COMPUTED_VALUE"""),"ҚАРШИ ТАРМОҚ СЭС")</f>
        <v>ҚАРШИ ТАРМОҚ СЭС</v>
      </c>
    </row>
    <row r="173" spans="1:5" ht="45" customHeight="1">
      <c r="A173" s="4">
        <f ca="1">IFERROR(__xludf.DUMMYFUNCTION("""COMPUTED_VALUE"""),8.29000000000003)</f>
        <v>8.2900000000000293</v>
      </c>
      <c r="B173" s="2">
        <f ca="1">IFERROR(__xludf.DUMMYFUNCTION("""COMPUTED_VALUE"""),203855194)</f>
        <v>203855194</v>
      </c>
      <c r="C173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3" s="3"/>
      <c r="E173" s="2" t="str">
        <f ca="1">IFERROR(__xludf.DUMMYFUNCTION("""COMPUTED_VALUE"""),"ҚЎНҒИРОТ ТАРМОҚ СЭС")</f>
        <v>ҚЎНҒИРОТ ТАРМОҚ СЭС</v>
      </c>
    </row>
    <row r="174" spans="1:5" ht="45" customHeight="1">
      <c r="A174" s="4">
        <f ca="1">IFERROR(__xludf.DUMMYFUNCTION("""COMPUTED_VALUE"""),8.30000000000003)</f>
        <v>8.3000000000000291</v>
      </c>
      <c r="B174" s="2">
        <f ca="1">IFERROR(__xludf.DUMMYFUNCTION("""COMPUTED_VALUE"""),203855194)</f>
        <v>203855194</v>
      </c>
      <c r="C174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4" s="3"/>
      <c r="E174" s="2" t="str">
        <f ca="1">IFERROR(__xludf.DUMMYFUNCTION("""COMPUTED_VALUE"""),"ТЕМИРЙУЛЧИЛАР МАДАНИЯТ САРОЙИ")</f>
        <v>ТЕМИРЙУЛЧИЛАР МАДАНИЯТ САРОЙИ</v>
      </c>
    </row>
    <row r="175" spans="1:5" ht="45" customHeight="1">
      <c r="A175" s="4">
        <f ca="1">IFERROR(__xludf.DUMMYFUNCTION("""COMPUTED_VALUE"""),8.31000000000003)</f>
        <v>8.3100000000000307</v>
      </c>
      <c r="B175" s="2">
        <f ca="1">IFERROR(__xludf.DUMMYFUNCTION("""COMPUTED_VALUE"""),203855194)</f>
        <v>203855194</v>
      </c>
      <c r="C175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5" s="3"/>
      <c r="E175" s="2" t="str">
        <f ca="1">IFERROR(__xludf.DUMMYFUNCTION("""COMPUTED_VALUE"""),"РИНА МЕД МЧЖ")</f>
        <v>РИНА МЕД МЧЖ</v>
      </c>
    </row>
    <row r="176" spans="1:5" ht="45" customHeight="1">
      <c r="A176" s="4">
        <f ca="1">IFERROR(__xludf.DUMMYFUNCTION("""COMPUTED_VALUE"""),8.32000000000003)</f>
        <v>8.3200000000000305</v>
      </c>
      <c r="B176" s="2">
        <f ca="1">IFERROR(__xludf.DUMMYFUNCTION("""COMPUTED_VALUE"""),203855194)</f>
        <v>203855194</v>
      </c>
      <c r="C176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6" s="3"/>
      <c r="E176" s="2" t="str">
        <f ca="1">IFERROR(__xludf.DUMMYFUNCTION("""COMPUTED_VALUE"""),"ҚЎНҒИРОТ САНАТОРИЙ ПРОФИЛАКТОРИЙ ")</f>
        <v xml:space="preserve">ҚЎНҒИРОТ САНАТОРИЙ ПРОФИЛАКТОРИЙ </v>
      </c>
    </row>
    <row r="177" spans="1:5" ht="45" customHeight="1">
      <c r="A177" s="4">
        <f ca="1">IFERROR(__xludf.DUMMYFUNCTION("""COMPUTED_VALUE"""),8.33000000000003)</f>
        <v>8.3300000000000303</v>
      </c>
      <c r="B177" s="2">
        <f ca="1">IFERROR(__xludf.DUMMYFUNCTION("""COMPUTED_VALUE"""),203855194)</f>
        <v>203855194</v>
      </c>
      <c r="C177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7" s="3"/>
      <c r="E177" s="2" t="str">
        <f ca="1">IFERROR(__xludf.DUMMYFUNCTION("""COMPUTED_VALUE"""),"ҚИБРАЙ болалар дам олиш оромгохи")</f>
        <v>ҚИБРАЙ болалар дам олиш оромгохи</v>
      </c>
    </row>
    <row r="178" spans="1:5" ht="45" customHeight="1">
      <c r="A178" s="4">
        <f ca="1">IFERROR(__xludf.DUMMYFUNCTION("""COMPUTED_VALUE"""),8.34000000000004)</f>
        <v>8.3400000000000407</v>
      </c>
      <c r="B178" s="2">
        <f ca="1">IFERROR(__xludf.DUMMYFUNCTION("""COMPUTED_VALUE"""),203855194)</f>
        <v>203855194</v>
      </c>
      <c r="C178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8" s="3"/>
      <c r="E178" s="2" t="str">
        <f ca="1">IFERROR(__xludf.DUMMYFUNCTION("""COMPUTED_VALUE"""),"ҚИБРАЙ болалар дам олиш оромгохи")</f>
        <v>ҚИБРАЙ болалар дам олиш оромгохи</v>
      </c>
    </row>
    <row r="179" spans="1:5" ht="45" customHeight="1">
      <c r="A179" s="4">
        <f ca="1">IFERROR(__xludf.DUMMYFUNCTION("""COMPUTED_VALUE"""),8.35000000000004)</f>
        <v>8.3500000000000405</v>
      </c>
      <c r="B179" s="2">
        <f ca="1">IFERROR(__xludf.DUMMYFUNCTION("""COMPUTED_VALUE"""),203855194)</f>
        <v>203855194</v>
      </c>
      <c r="C179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79" s="3"/>
      <c r="E179" s="2" t="str">
        <f ca="1">IFERROR(__xludf.DUMMYFUNCTION("""COMPUTED_VALUE"""),"ЯНГИ АВЛОД болалар дам олиш оромгохи")</f>
        <v>ЯНГИ АВЛОД болалар дам олиш оромгохи</v>
      </c>
    </row>
    <row r="180" spans="1:5" ht="45" customHeight="1">
      <c r="A180" s="4">
        <f ca="1">IFERROR(__xludf.DUMMYFUNCTION("""COMPUTED_VALUE"""),8.36000000000004)</f>
        <v>8.3600000000000403</v>
      </c>
      <c r="B180" s="2">
        <f ca="1">IFERROR(__xludf.DUMMYFUNCTION("""COMPUTED_VALUE"""),203855194)</f>
        <v>203855194</v>
      </c>
      <c r="C180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80" s="3"/>
      <c r="E180" s="2" t="str">
        <f ca="1">IFERROR(__xludf.DUMMYFUNCTION("""COMPUTED_VALUE"""),"БУРЧМУЛЛО болалар дам олиш оромгохи")</f>
        <v>БУРЧМУЛЛО болалар дам олиш оромгохи</v>
      </c>
    </row>
    <row r="181" spans="1:5" ht="45" customHeight="1">
      <c r="A181" s="4">
        <f ca="1">IFERROR(__xludf.DUMMYFUNCTION("""COMPUTED_VALUE"""),8.37000000000004)</f>
        <v>8.3700000000000401</v>
      </c>
      <c r="B181" s="2">
        <f ca="1">IFERROR(__xludf.DUMMYFUNCTION("""COMPUTED_VALUE"""),203855194)</f>
        <v>203855194</v>
      </c>
      <c r="C181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81" s="3"/>
      <c r="E181" s="2" t="str">
        <f ca="1">IFERROR(__xludf.DUMMYFUNCTION("""COMPUTED_VALUE"""),"ОЛОВИДДИН болалар дам олиш оромгохи")</f>
        <v>ОЛОВИДДИН болалар дам олиш оромгохи</v>
      </c>
    </row>
    <row r="182" spans="1:5" ht="45" customHeight="1">
      <c r="A182" s="4">
        <f ca="1">IFERROR(__xludf.DUMMYFUNCTION("""COMPUTED_VALUE"""),8.38000000000004)</f>
        <v>8.3800000000000399</v>
      </c>
      <c r="B182" s="2">
        <f ca="1">IFERROR(__xludf.DUMMYFUNCTION("""COMPUTED_VALUE"""),203855194)</f>
        <v>203855194</v>
      </c>
      <c r="C182" s="2" t="str">
        <f ca="1">IFERROR(__xludf.DUMMYFUNCTION("""COMPUTED_VALUE"""),""" TEMIR YO‘L IJTIMOIY XIZMATLAR"" DM (ТЕМИРЙУЛ ИЖТИМОИЙ ХИЗМАТЛАР ДМ)")</f>
        <v>" TEMIR YO‘L IJTIMOIY XIZMATLAR" DM (ТЕМИРЙУЛ ИЖТИМОИЙ ХИЗМАТЛАР ДМ)</v>
      </c>
      <c r="D182" s="3"/>
      <c r="E182" s="2" t="str">
        <f ca="1">IFERROR(__xludf.DUMMYFUNCTION("""COMPUTED_VALUE"""),"ТЕМИРЙУЛЧИ болалар дам олиш оромгохи")</f>
        <v>ТЕМИРЙУЛЧИ болалар дам олиш оромгохи</v>
      </c>
    </row>
    <row r="183" spans="1:5" ht="45" customHeight="1">
      <c r="A183" s="4"/>
      <c r="B183" s="3"/>
      <c r="C183" s="3"/>
      <c r="D183" s="3"/>
      <c r="E183" s="2"/>
    </row>
    <row r="184" spans="1:5" ht="45" customHeight="1">
      <c r="A184" s="4">
        <f ca="1">IFERROR(__xludf.DUMMYFUNCTION("""COMPUTED_VALUE"""),9.11)</f>
        <v>9.11</v>
      </c>
      <c r="B184" s="2"/>
      <c r="C184" s="2"/>
      <c r="D184" s="3"/>
      <c r="E184" s="2" t="str">
        <f ca="1">IFERROR(__xludf.DUMMYFUNCTION("""COMPUTED_VALUE"""),"Марказий касаба уюшмаси (Профсоюз)")</f>
        <v>Марказий касаба уюшмаси (Профсоюз)</v>
      </c>
    </row>
    <row r="185" spans="1:5" ht="45" customHeight="1">
      <c r="A185" s="4">
        <f ca="1">IFERROR(__xludf.DUMMYFUNCTION("""COMPUTED_VALUE"""),9.12)</f>
        <v>9.1199999999999992</v>
      </c>
      <c r="B185" s="2"/>
      <c r="C185" s="2"/>
      <c r="D185" s="3"/>
      <c r="E185" s="2" t="str">
        <f ca="1">IFERROR(__xludf.DUMMYFUNCTION("""COMPUTED_VALUE"""),"Тошкент темирйул мухандислари институти")</f>
        <v>Тошкент темирйул мухандислари институти</v>
      </c>
    </row>
    <row r="186" spans="1:5" ht="45" customHeight="1">
      <c r="A186" s="4">
        <f ca="1">IFERROR(__xludf.DUMMYFUNCTION("""COMPUTED_VALUE"""),9.13)</f>
        <v>9.1300000000000008</v>
      </c>
      <c r="B186" s="2"/>
      <c r="C186" s="2"/>
      <c r="D186" s="3"/>
      <c r="E186" s="2" t="str">
        <f ca="1">IFERROR(__xludf.DUMMYFUNCTION("""COMPUTED_VALUE"""),"Куприк курилиш АЖ Мост отряд 13")</f>
        <v>Куприк курилиш АЖ Мост отряд 13</v>
      </c>
    </row>
    <row r="187" spans="1:5" ht="45" customHeight="1">
      <c r="A187" s="4">
        <f ca="1">IFERROR(__xludf.DUMMYFUNCTION("""COMPUTED_VALUE"""),9.14)</f>
        <v>9.14</v>
      </c>
      <c r="B187" s="2"/>
      <c r="C187" s="2"/>
      <c r="D187" s="3"/>
      <c r="E187" s="2" t="str">
        <f ca="1">IFERROR(__xludf.DUMMYFUNCTION("""COMPUTED_VALUE"""),"УЗТЕМИРЙУЛКУРИЛИШМОНТАЖ УК")</f>
        <v>УЗТЕМИРЙУЛКУРИЛИШМОНТАЖ УК</v>
      </c>
    </row>
    <row r="188" spans="1:5" ht="45" customHeight="1">
      <c r="A188" s="4">
        <f ca="1">IFERROR(__xludf.DUMMYFUNCTION("""COMPUTED_VALUE"""),9.15000000000001)</f>
        <v>9.1500000000000092</v>
      </c>
      <c r="B188" s="3"/>
      <c r="C188" s="3"/>
      <c r="D188" s="3"/>
      <c r="E188" s="2" t="str">
        <f ca="1">IFERROR(__xludf.DUMMYFUNCTION("""COMPUTED_VALUE"""),"Тошкент темирйул коледжи")</f>
        <v>Тошкент темирйул коледжи</v>
      </c>
    </row>
    <row r="189" spans="1:5" ht="45" customHeight="1">
      <c r="A189" s="4">
        <f ca="1">IFERROR(__xludf.DUMMYFUNCTION("""COMPUTED_VALUE"""),9.16000000000002)</f>
        <v>9.1600000000000197</v>
      </c>
      <c r="B189" s="3"/>
      <c r="C189" s="3"/>
      <c r="D189" s="3"/>
      <c r="E189" s="2" t="str">
        <f ca="1">IFERROR(__xludf.DUMMYFUNCTION("""COMPUTED_VALUE"""),"НГЧ")</f>
        <v>НГЧ</v>
      </c>
    </row>
    <row r="190" spans="1:5" ht="45" customHeight="1">
      <c r="A190" s="7"/>
      <c r="B190" s="3"/>
      <c r="C190" s="3"/>
      <c r="D190" s="3"/>
      <c r="E190" s="3"/>
    </row>
    <row r="191" spans="1:5" ht="45" customHeight="1">
      <c r="A191" s="7"/>
      <c r="B191" s="3"/>
      <c r="C191" s="3"/>
      <c r="D191" s="3"/>
      <c r="E191" s="3"/>
    </row>
    <row r="192" spans="1:5" ht="45" customHeight="1">
      <c r="A192" s="7"/>
      <c r="B192" s="3"/>
      <c r="C192" s="3"/>
      <c r="D192" s="3"/>
      <c r="E192" s="3"/>
    </row>
    <row r="193" spans="1:5" ht="45" customHeight="1">
      <c r="A193" s="7"/>
      <c r="B193" s="3"/>
      <c r="C193" s="3"/>
      <c r="D193" s="3"/>
      <c r="E193" s="3"/>
    </row>
    <row r="194" spans="1:5" ht="45" customHeight="1">
      <c r="A194" s="7"/>
      <c r="B194" s="3"/>
      <c r="C194" s="3"/>
      <c r="D194" s="3"/>
      <c r="E194" s="3"/>
    </row>
    <row r="195" spans="1:5" ht="45" customHeight="1">
      <c r="A195" s="7"/>
      <c r="B195" s="3"/>
      <c r="C195" s="3"/>
      <c r="D195" s="3"/>
      <c r="E195" s="3"/>
    </row>
    <row r="196" spans="1:5" ht="45" customHeight="1">
      <c r="A196" s="7"/>
      <c r="B196" s="3"/>
      <c r="C196" s="3"/>
      <c r="D196" s="3"/>
      <c r="E196" s="3"/>
    </row>
    <row r="197" spans="1:5" ht="15.75" customHeight="1">
      <c r="A197" s="7"/>
      <c r="B197" s="3"/>
      <c r="C197" s="3"/>
      <c r="D197" s="3"/>
      <c r="E197" s="3"/>
    </row>
    <row r="198" spans="1:5" ht="15.75" customHeight="1">
      <c r="A198" s="7"/>
      <c r="B198" s="3"/>
      <c r="C198" s="3"/>
      <c r="D198" s="3"/>
      <c r="E198" s="3"/>
    </row>
    <row r="199" spans="1:5" ht="15.75" customHeight="1">
      <c r="A199" s="7"/>
      <c r="B199" s="3"/>
      <c r="C199" s="3"/>
      <c r="D199" s="3"/>
      <c r="E199" s="3"/>
    </row>
    <row r="200" spans="1:5" ht="15.75" customHeight="1">
      <c r="A200" s="7"/>
      <c r="B200" s="3"/>
      <c r="C200" s="3"/>
      <c r="D200" s="3"/>
      <c r="E200" s="3"/>
    </row>
    <row r="201" spans="1:5" ht="15.75" customHeight="1">
      <c r="A201" s="7"/>
      <c r="B201" s="3"/>
      <c r="C201" s="3"/>
      <c r="D201" s="3"/>
      <c r="E201" s="3"/>
    </row>
    <row r="202" spans="1:5" ht="15.75" customHeight="1">
      <c r="A202" s="7"/>
      <c r="B202" s="3"/>
      <c r="C202" s="3"/>
      <c r="D202" s="3"/>
      <c r="E202" s="3"/>
    </row>
    <row r="203" spans="1:5" ht="15.75" customHeight="1">
      <c r="A203" s="7"/>
      <c r="B203" s="3"/>
      <c r="C203" s="3"/>
      <c r="D203" s="3"/>
      <c r="E203" s="3"/>
    </row>
    <row r="204" spans="1:5" ht="15.75" customHeight="1">
      <c r="A204" s="7"/>
      <c r="B204" s="3"/>
      <c r="C204" s="3"/>
      <c r="D204" s="3"/>
      <c r="E204" s="3"/>
    </row>
    <row r="205" spans="1:5" ht="15.75" customHeight="1">
      <c r="A205" s="7"/>
      <c r="B205" s="3"/>
      <c r="C205" s="3"/>
      <c r="D205" s="3"/>
      <c r="E205" s="3"/>
    </row>
    <row r="206" spans="1:5" ht="15.75" customHeight="1">
      <c r="A206" s="7"/>
      <c r="B206" s="3"/>
      <c r="C206" s="3"/>
      <c r="D206" s="3"/>
      <c r="E206" s="3"/>
    </row>
    <row r="207" spans="1:5" ht="15.75" customHeight="1">
      <c r="A207" s="7"/>
      <c r="B207" s="3"/>
      <c r="C207" s="3"/>
      <c r="D207" s="3"/>
      <c r="E207" s="3"/>
    </row>
    <row r="208" spans="1:5" ht="15.75" customHeight="1">
      <c r="A208" s="7"/>
      <c r="B208" s="3"/>
      <c r="C208" s="3"/>
      <c r="D208" s="3"/>
      <c r="E208" s="3"/>
    </row>
    <row r="209" spans="1:5" ht="15.75" customHeight="1">
      <c r="A209" s="7"/>
      <c r="B209" s="3"/>
      <c r="C209" s="3"/>
      <c r="D209" s="3"/>
      <c r="E209" s="3"/>
    </row>
    <row r="210" spans="1:5" ht="15.75" customHeight="1">
      <c r="A210" s="7"/>
      <c r="B210" s="3"/>
      <c r="C210" s="3"/>
      <c r="D210" s="3"/>
      <c r="E210" s="3"/>
    </row>
    <row r="211" spans="1:5" ht="15.75" customHeight="1">
      <c r="A211" s="7"/>
      <c r="B211" s="3"/>
      <c r="C211" s="3"/>
      <c r="D211" s="3"/>
      <c r="E211" s="3"/>
    </row>
    <row r="212" spans="1:5" ht="15.75" customHeight="1">
      <c r="A212" s="7"/>
      <c r="B212" s="3"/>
      <c r="C212" s="3"/>
      <c r="D212" s="3"/>
      <c r="E212" s="3"/>
    </row>
    <row r="213" spans="1:5" ht="15.75" customHeight="1">
      <c r="A213" s="7"/>
      <c r="B213" s="3"/>
      <c r="C213" s="3"/>
      <c r="D213" s="3"/>
      <c r="E213" s="3"/>
    </row>
    <row r="214" spans="1:5" ht="15.75" customHeight="1">
      <c r="A214" s="7"/>
      <c r="B214" s="3"/>
      <c r="C214" s="3"/>
      <c r="D214" s="3"/>
      <c r="E214" s="3"/>
    </row>
    <row r="215" spans="1:5" ht="15.75" customHeight="1">
      <c r="A215" s="7"/>
      <c r="B215" s="3"/>
      <c r="C215" s="3"/>
      <c r="D215" s="3"/>
      <c r="E215" s="3"/>
    </row>
    <row r="216" spans="1:5" ht="15.75" customHeight="1">
      <c r="A216" s="7"/>
      <c r="B216" s="3"/>
      <c r="C216" s="3"/>
      <c r="D216" s="3"/>
      <c r="E216" s="3"/>
    </row>
    <row r="217" spans="1:5" ht="15.75" customHeight="1">
      <c r="A217" s="7"/>
      <c r="B217" s="3"/>
      <c r="C217" s="3"/>
      <c r="D217" s="3"/>
      <c r="E217" s="3"/>
    </row>
    <row r="218" spans="1:5" ht="15.75" customHeight="1">
      <c r="A218" s="7"/>
      <c r="B218" s="3"/>
      <c r="C218" s="3"/>
      <c r="D218" s="3"/>
      <c r="E218" s="3"/>
    </row>
    <row r="219" spans="1:5" ht="15.75" customHeight="1">
      <c r="A219" s="7"/>
      <c r="B219" s="3"/>
      <c r="C219" s="3"/>
      <c r="D219" s="3"/>
      <c r="E219" s="3"/>
    </row>
    <row r="220" spans="1:5" ht="15.75" customHeight="1">
      <c r="A220" s="7"/>
      <c r="B220" s="3"/>
      <c r="C220" s="3"/>
      <c r="D220" s="3"/>
      <c r="E220" s="3"/>
    </row>
    <row r="221" spans="1:5" ht="15.75" customHeight="1">
      <c r="A221" s="7"/>
      <c r="B221" s="3"/>
      <c r="C221" s="3"/>
      <c r="D221" s="3"/>
      <c r="E221" s="3"/>
    </row>
    <row r="222" spans="1:5" ht="15.75" customHeight="1">
      <c r="A222" s="7"/>
      <c r="B222" s="3"/>
      <c r="C222" s="3"/>
      <c r="D222" s="3"/>
      <c r="E222" s="3"/>
    </row>
    <row r="223" spans="1:5" ht="15.75" customHeight="1">
      <c r="A223" s="7"/>
      <c r="B223" s="3"/>
      <c r="C223" s="3"/>
      <c r="D223" s="3"/>
      <c r="E223" s="3"/>
    </row>
    <row r="224" spans="1:5" ht="15.75" customHeight="1">
      <c r="A224" s="7"/>
      <c r="B224" s="3"/>
      <c r="C224" s="3"/>
      <c r="D224" s="3"/>
      <c r="E224" s="3"/>
    </row>
    <row r="225" spans="1:5" ht="15.75" customHeight="1">
      <c r="A225" s="7"/>
      <c r="B225" s="3"/>
      <c r="C225" s="3"/>
      <c r="D225" s="3"/>
      <c r="E225" s="3"/>
    </row>
    <row r="226" spans="1:5" ht="15.75" customHeight="1">
      <c r="A226" s="7"/>
      <c r="B226" s="3"/>
      <c r="C226" s="3"/>
      <c r="D226" s="3"/>
      <c r="E226" s="3"/>
    </row>
    <row r="227" spans="1:5" ht="15.75" customHeight="1">
      <c r="A227" s="7"/>
      <c r="B227" s="3"/>
      <c r="C227" s="3"/>
      <c r="D227" s="3"/>
      <c r="E227" s="3"/>
    </row>
    <row r="228" spans="1:5" ht="15.75" customHeight="1">
      <c r="A228" s="7"/>
      <c r="B228" s="3"/>
      <c r="C228" s="3"/>
      <c r="D228" s="3"/>
      <c r="E228" s="3"/>
    </row>
    <row r="229" spans="1:5" ht="15.75" customHeight="1">
      <c r="A229" s="7"/>
      <c r="B229" s="3"/>
      <c r="C229" s="3"/>
      <c r="D229" s="3"/>
      <c r="E229" s="3"/>
    </row>
    <row r="230" spans="1:5" ht="15.75" customHeight="1">
      <c r="A230" s="7"/>
      <c r="B230" s="3"/>
      <c r="C230" s="3"/>
      <c r="D230" s="3"/>
      <c r="E230" s="3"/>
    </row>
    <row r="231" spans="1:5" ht="15.75" customHeight="1">
      <c r="A231" s="7"/>
      <c r="B231" s="3"/>
      <c r="C231" s="3"/>
      <c r="D231" s="3"/>
      <c r="E231" s="3"/>
    </row>
    <row r="232" spans="1:5" ht="15.75" customHeight="1">
      <c r="A232" s="7"/>
      <c r="B232" s="3"/>
      <c r="C232" s="3"/>
      <c r="D232" s="3"/>
      <c r="E232" s="3"/>
    </row>
    <row r="233" spans="1:5" ht="15.75" customHeight="1">
      <c r="A233" s="7"/>
      <c r="B233" s="3"/>
      <c r="C233" s="3"/>
      <c r="D233" s="3"/>
      <c r="E233" s="3"/>
    </row>
    <row r="234" spans="1:5" ht="15.75" customHeight="1">
      <c r="A234" s="7"/>
      <c r="B234" s="3"/>
      <c r="C234" s="3"/>
      <c r="D234" s="3"/>
      <c r="E234" s="3"/>
    </row>
    <row r="235" spans="1:5" ht="15.75" customHeight="1">
      <c r="A235" s="7"/>
      <c r="B235" s="3"/>
      <c r="C235" s="3"/>
      <c r="D235" s="3"/>
      <c r="E235" s="3"/>
    </row>
    <row r="236" spans="1:5" ht="15.75" customHeight="1">
      <c r="A236" s="7"/>
      <c r="B236" s="3"/>
      <c r="C236" s="3"/>
      <c r="D236" s="3"/>
      <c r="E236" s="3"/>
    </row>
    <row r="237" spans="1:5" ht="15.75" customHeight="1">
      <c r="A237" s="7"/>
      <c r="B237" s="3"/>
      <c r="C237" s="3"/>
      <c r="D237" s="3"/>
      <c r="E237" s="3"/>
    </row>
    <row r="238" spans="1:5" ht="15.75" customHeight="1">
      <c r="A238" s="7"/>
      <c r="B238" s="3"/>
      <c r="C238" s="3"/>
      <c r="D238" s="3"/>
      <c r="E238" s="3"/>
    </row>
    <row r="239" spans="1:5" ht="15.75" customHeight="1">
      <c r="A239" s="7"/>
      <c r="B239" s="3"/>
      <c r="C239" s="3"/>
      <c r="D239" s="3"/>
      <c r="E239" s="3"/>
    </row>
    <row r="240" spans="1:5" ht="15.75" customHeight="1">
      <c r="A240" s="7"/>
      <c r="B240" s="3"/>
      <c r="C240" s="3"/>
      <c r="D240" s="3"/>
      <c r="E240" s="3"/>
    </row>
    <row r="241" spans="1:5" ht="15.75" customHeight="1">
      <c r="A241" s="7"/>
      <c r="B241" s="3"/>
      <c r="C241" s="3"/>
      <c r="D241" s="3"/>
      <c r="E241" s="3"/>
    </row>
    <row r="242" spans="1:5" ht="15.75" customHeight="1">
      <c r="A242" s="7"/>
      <c r="B242" s="3"/>
      <c r="C242" s="3"/>
      <c r="D242" s="3"/>
      <c r="E242" s="3"/>
    </row>
    <row r="243" spans="1:5" ht="15.75" customHeight="1">
      <c r="A243" s="7"/>
      <c r="B243" s="3"/>
      <c r="C243" s="3"/>
      <c r="D243" s="3"/>
      <c r="E243" s="3"/>
    </row>
    <row r="244" spans="1:5" ht="15.75" customHeight="1">
      <c r="A244" s="7"/>
      <c r="B244" s="3"/>
      <c r="C244" s="3"/>
      <c r="D244" s="3"/>
      <c r="E244" s="3"/>
    </row>
    <row r="245" spans="1:5" ht="15.75" customHeight="1">
      <c r="A245" s="7"/>
      <c r="B245" s="3"/>
      <c r="C245" s="3"/>
      <c r="D245" s="3"/>
      <c r="E245" s="3"/>
    </row>
    <row r="246" spans="1:5" ht="15.75" customHeight="1">
      <c r="A246" s="7"/>
      <c r="B246" s="3"/>
      <c r="C246" s="3"/>
      <c r="D246" s="3"/>
      <c r="E246" s="3"/>
    </row>
    <row r="247" spans="1:5" ht="15.75" customHeight="1">
      <c r="A247" s="7"/>
      <c r="B247" s="3"/>
      <c r="C247" s="3"/>
      <c r="D247" s="3"/>
      <c r="E247" s="3"/>
    </row>
    <row r="248" spans="1:5" ht="15.75" customHeight="1">
      <c r="A248" s="7"/>
      <c r="B248" s="3"/>
      <c r="C248" s="3"/>
      <c r="D248" s="3"/>
      <c r="E248" s="3"/>
    </row>
    <row r="249" spans="1:5" ht="15.75" customHeight="1">
      <c r="A249" s="7"/>
      <c r="B249" s="3"/>
      <c r="C249" s="3"/>
      <c r="D249" s="3"/>
      <c r="E249" s="3"/>
    </row>
    <row r="250" spans="1:5" ht="15.75" customHeight="1">
      <c r="A250" s="7"/>
      <c r="B250" s="3"/>
      <c r="C250" s="3"/>
      <c r="D250" s="3"/>
      <c r="E250" s="3"/>
    </row>
    <row r="251" spans="1:5" ht="15.75" customHeight="1">
      <c r="A251" s="7"/>
      <c r="B251" s="3"/>
      <c r="C251" s="3"/>
      <c r="D251" s="3"/>
      <c r="E251" s="3"/>
    </row>
    <row r="252" spans="1:5" ht="15.75" customHeight="1">
      <c r="A252" s="7"/>
      <c r="B252" s="3"/>
      <c r="C252" s="3"/>
      <c r="D252" s="3"/>
      <c r="E252" s="3"/>
    </row>
    <row r="253" spans="1:5" ht="15.75" customHeight="1">
      <c r="A253" s="7"/>
      <c r="B253" s="3"/>
      <c r="C253" s="3"/>
      <c r="D253" s="3"/>
      <c r="E253" s="3"/>
    </row>
    <row r="254" spans="1:5" ht="15.75" customHeight="1">
      <c r="A254" s="7"/>
      <c r="B254" s="3"/>
      <c r="C254" s="3"/>
      <c r="D254" s="3"/>
      <c r="E254" s="3"/>
    </row>
    <row r="255" spans="1:5" ht="15.75" customHeight="1">
      <c r="A255" s="7"/>
      <c r="B255" s="3"/>
      <c r="C255" s="3"/>
      <c r="D255" s="3"/>
      <c r="E255" s="3"/>
    </row>
    <row r="256" spans="1:5" ht="15.75" customHeight="1">
      <c r="A256" s="7"/>
      <c r="B256" s="3"/>
      <c r="C256" s="3"/>
      <c r="D256" s="3"/>
      <c r="E256" s="3"/>
    </row>
    <row r="257" spans="1:5" ht="15.75" customHeight="1">
      <c r="A257" s="7"/>
      <c r="B257" s="3"/>
      <c r="C257" s="3"/>
      <c r="D257" s="3"/>
      <c r="E257" s="3"/>
    </row>
    <row r="258" spans="1:5" ht="15.75" customHeight="1">
      <c r="A258" s="7"/>
      <c r="B258" s="3"/>
      <c r="C258" s="3"/>
      <c r="D258" s="3"/>
      <c r="E258" s="3"/>
    </row>
    <row r="259" spans="1:5" ht="15.75" customHeight="1">
      <c r="A259" s="7"/>
      <c r="B259" s="3"/>
      <c r="C259" s="3"/>
      <c r="D259" s="3"/>
      <c r="E259" s="3"/>
    </row>
    <row r="260" spans="1:5" ht="15.75" customHeight="1">
      <c r="A260" s="7"/>
      <c r="B260" s="3"/>
      <c r="C260" s="3"/>
      <c r="D260" s="3"/>
      <c r="E260" s="3"/>
    </row>
    <row r="261" spans="1:5" ht="15.75" customHeight="1">
      <c r="A261" s="7"/>
      <c r="B261" s="3"/>
      <c r="C261" s="3"/>
      <c r="D261" s="3"/>
      <c r="E261" s="3"/>
    </row>
    <row r="262" spans="1:5" ht="15.75" customHeight="1">
      <c r="A262" s="7"/>
      <c r="B262" s="3"/>
      <c r="C262" s="3"/>
      <c r="D262" s="3"/>
      <c r="E262" s="3"/>
    </row>
    <row r="263" spans="1:5" ht="15.75" customHeight="1">
      <c r="A263" s="8"/>
      <c r="B263" s="9"/>
      <c r="C263" s="9"/>
      <c r="D263" s="9"/>
      <c r="E263" s="9"/>
    </row>
    <row r="264" spans="1:5" ht="15.75" customHeight="1">
      <c r="A264" s="8"/>
      <c r="B264" s="9"/>
      <c r="C264" s="9"/>
      <c r="D264" s="9"/>
      <c r="E264" s="9"/>
    </row>
    <row r="265" spans="1:5" ht="15.75" customHeight="1">
      <c r="A265" s="8"/>
      <c r="B265" s="9"/>
      <c r="C265" s="9"/>
      <c r="D265" s="9"/>
      <c r="E265" s="9"/>
    </row>
    <row r="266" spans="1:5" ht="15.75" customHeight="1">
      <c r="A266" s="8"/>
      <c r="B266" s="9"/>
      <c r="C266" s="9"/>
      <c r="D266" s="9"/>
      <c r="E266" s="9"/>
    </row>
    <row r="267" spans="1:5" ht="15.75" customHeight="1">
      <c r="A267" s="8"/>
      <c r="B267" s="9"/>
      <c r="C267" s="9"/>
      <c r="D267" s="9"/>
      <c r="E267" s="9"/>
    </row>
    <row r="268" spans="1:5" ht="15.75" customHeight="1">
      <c r="A268" s="8"/>
      <c r="B268" s="9"/>
      <c r="C268" s="9"/>
      <c r="D268" s="9"/>
      <c r="E268" s="9"/>
    </row>
    <row r="269" spans="1:5" ht="15.75" customHeight="1">
      <c r="A269" s="8"/>
      <c r="B269" s="9"/>
      <c r="C269" s="9"/>
      <c r="D269" s="9"/>
      <c r="E269" s="9"/>
    </row>
    <row r="270" spans="1:5" ht="15.75" customHeight="1">
      <c r="A270" s="8"/>
      <c r="B270" s="9"/>
      <c r="C270" s="9"/>
      <c r="D270" s="9"/>
      <c r="E270" s="9"/>
    </row>
    <row r="271" spans="1:5" ht="15.75" customHeight="1">
      <c r="A271" s="8"/>
      <c r="B271" s="9"/>
      <c r="C271" s="9"/>
      <c r="D271" s="9"/>
      <c r="E271" s="9"/>
    </row>
    <row r="272" spans="1:5" ht="15.75" customHeight="1">
      <c r="A272" s="8"/>
      <c r="B272" s="9"/>
      <c r="C272" s="9"/>
      <c r="D272" s="9"/>
      <c r="E272" s="9"/>
    </row>
    <row r="273" spans="1:5" ht="15.75" customHeight="1">
      <c r="A273" s="8"/>
      <c r="B273" s="9"/>
      <c r="C273" s="9"/>
      <c r="D273" s="9"/>
      <c r="E273" s="9"/>
    </row>
    <row r="274" spans="1:5" ht="15.75" customHeight="1">
      <c r="A274" s="8"/>
      <c r="B274" s="9"/>
      <c r="C274" s="9"/>
      <c r="D274" s="9"/>
      <c r="E274" s="9"/>
    </row>
    <row r="275" spans="1:5" ht="15.75" customHeight="1">
      <c r="A275" s="8"/>
      <c r="B275" s="9"/>
      <c r="C275" s="9"/>
      <c r="D275" s="9"/>
      <c r="E275" s="9"/>
    </row>
    <row r="276" spans="1:5" ht="15.75" customHeight="1">
      <c r="A276" s="8"/>
      <c r="B276" s="9"/>
      <c r="C276" s="9"/>
      <c r="D276" s="9"/>
      <c r="E276" s="9"/>
    </row>
    <row r="277" spans="1:5" ht="15.75" customHeight="1">
      <c r="A277" s="8"/>
      <c r="B277" s="9"/>
      <c r="C277" s="9"/>
      <c r="D277" s="9"/>
      <c r="E277" s="9"/>
    </row>
    <row r="278" spans="1:5" ht="15.75" customHeight="1">
      <c r="A278" s="8"/>
      <c r="B278" s="9"/>
      <c r="C278" s="9"/>
      <c r="D278" s="9"/>
      <c r="E278" s="9"/>
    </row>
    <row r="279" spans="1:5" ht="15.75" customHeight="1">
      <c r="A279" s="8"/>
      <c r="B279" s="9"/>
      <c r="C279" s="9"/>
      <c r="D279" s="9"/>
      <c r="E279" s="9"/>
    </row>
    <row r="280" spans="1:5" ht="15.75" customHeight="1">
      <c r="A280" s="8"/>
      <c r="B280" s="9"/>
      <c r="C280" s="9"/>
      <c r="D280" s="9"/>
      <c r="E280" s="9"/>
    </row>
    <row r="281" spans="1:5" ht="15.75" customHeight="1">
      <c r="A281" s="8"/>
      <c r="B281" s="9"/>
      <c r="C281" s="9"/>
      <c r="D281" s="9"/>
      <c r="E281" s="9"/>
    </row>
    <row r="282" spans="1:5" ht="15.75" customHeight="1">
      <c r="A282" s="8"/>
      <c r="B282" s="9"/>
      <c r="C282" s="9"/>
      <c r="D282" s="9"/>
      <c r="E282" s="9"/>
    </row>
    <row r="283" spans="1:5" ht="15.75" customHeight="1">
      <c r="A283" s="8"/>
      <c r="B283" s="9"/>
      <c r="C283" s="9"/>
      <c r="D283" s="9"/>
      <c r="E283" s="9"/>
    </row>
    <row r="284" spans="1:5" ht="15.75" customHeight="1">
      <c r="A284" s="8"/>
      <c r="B284" s="9"/>
      <c r="C284" s="9"/>
      <c r="D284" s="9"/>
      <c r="E284" s="9"/>
    </row>
    <row r="285" spans="1:5" ht="15.75" customHeight="1">
      <c r="A285" s="8"/>
      <c r="B285" s="9"/>
      <c r="C285" s="9"/>
      <c r="D285" s="9"/>
      <c r="E285" s="9"/>
    </row>
    <row r="286" spans="1:5" ht="15.75" customHeight="1">
      <c r="A286" s="8"/>
      <c r="B286" s="9"/>
      <c r="C286" s="9"/>
      <c r="D286" s="9"/>
      <c r="E286" s="9"/>
    </row>
    <row r="287" spans="1:5" ht="15.75" customHeight="1">
      <c r="A287" s="8"/>
      <c r="B287" s="9"/>
      <c r="C287" s="9"/>
      <c r="D287" s="9"/>
      <c r="E287" s="9"/>
    </row>
    <row r="288" spans="1:5" ht="15.75" customHeight="1">
      <c r="A288" s="8"/>
      <c r="B288" s="9"/>
      <c r="C288" s="9"/>
      <c r="D288" s="9"/>
      <c r="E288" s="9"/>
    </row>
    <row r="289" spans="1:5" ht="15.75" customHeight="1">
      <c r="A289" s="8"/>
      <c r="B289" s="9"/>
      <c r="C289" s="9"/>
      <c r="D289" s="9"/>
      <c r="E289" s="9"/>
    </row>
    <row r="290" spans="1:5" ht="15.75" customHeight="1">
      <c r="A290" s="8"/>
      <c r="B290" s="9"/>
      <c r="C290" s="9"/>
      <c r="D290" s="9"/>
      <c r="E290" s="9"/>
    </row>
    <row r="291" spans="1:5" ht="15.75" customHeight="1">
      <c r="A291" s="8"/>
      <c r="B291" s="9"/>
      <c r="C291" s="9"/>
      <c r="D291" s="9"/>
      <c r="E291" s="9"/>
    </row>
    <row r="292" spans="1:5" ht="15.75" customHeight="1">
      <c r="A292" s="8"/>
      <c r="B292" s="9"/>
      <c r="C292" s="9"/>
      <c r="D292" s="9"/>
      <c r="E292" s="9"/>
    </row>
    <row r="293" spans="1:5" ht="15.75" customHeight="1">
      <c r="A293" s="8"/>
      <c r="B293" s="9"/>
      <c r="C293" s="9"/>
      <c r="D293" s="9"/>
      <c r="E293" s="9"/>
    </row>
    <row r="294" spans="1:5" ht="15.75" customHeight="1">
      <c r="A294" s="8"/>
      <c r="B294" s="9"/>
      <c r="C294" s="9"/>
      <c r="D294" s="9"/>
      <c r="E294" s="9"/>
    </row>
    <row r="295" spans="1:5" ht="15.75" customHeight="1">
      <c r="A295" s="8"/>
      <c r="B295" s="9"/>
      <c r="C295" s="9"/>
      <c r="D295" s="9"/>
      <c r="E295" s="9"/>
    </row>
    <row r="296" spans="1:5" ht="15.75" customHeight="1">
      <c r="A296" s="8"/>
      <c r="B296" s="9"/>
      <c r="C296" s="9"/>
      <c r="D296" s="9"/>
      <c r="E296" s="9"/>
    </row>
    <row r="297" spans="1:5" ht="15.75" customHeight="1">
      <c r="A297" s="8"/>
      <c r="B297" s="9"/>
      <c r="C297" s="9"/>
      <c r="D297" s="9"/>
      <c r="E297" s="9"/>
    </row>
    <row r="298" spans="1:5" ht="15.75" customHeight="1">
      <c r="A298" s="8"/>
      <c r="B298" s="9"/>
      <c r="C298" s="9"/>
      <c r="D298" s="9"/>
      <c r="E298" s="9"/>
    </row>
    <row r="299" spans="1:5" ht="15.75" customHeight="1">
      <c r="A299" s="8"/>
      <c r="B299" s="9"/>
      <c r="C299" s="9"/>
      <c r="D299" s="9"/>
      <c r="E299" s="9"/>
    </row>
    <row r="300" spans="1:5" ht="15.75" customHeight="1">
      <c r="A300" s="8"/>
      <c r="B300" s="9"/>
      <c r="C300" s="9"/>
      <c r="D300" s="9"/>
      <c r="E300" s="9"/>
    </row>
    <row r="301" spans="1:5" ht="15.75" customHeight="1">
      <c r="A301" s="8"/>
      <c r="B301" s="9"/>
      <c r="C301" s="9"/>
      <c r="D301" s="9"/>
      <c r="E301" s="9"/>
    </row>
    <row r="302" spans="1:5" ht="15.75" customHeight="1">
      <c r="A302" s="8"/>
      <c r="B302" s="9"/>
      <c r="C302" s="9"/>
      <c r="D302" s="9"/>
      <c r="E302" s="9"/>
    </row>
    <row r="303" spans="1:5" ht="15.75" customHeight="1">
      <c r="A303" s="8"/>
      <c r="B303" s="9"/>
      <c r="C303" s="9"/>
      <c r="D303" s="9"/>
      <c r="E303" s="9"/>
    </row>
    <row r="304" spans="1:5" ht="15.75" customHeight="1">
      <c r="A304" s="8"/>
      <c r="B304" s="9"/>
      <c r="C304" s="9"/>
      <c r="D304" s="9"/>
      <c r="E304" s="9"/>
    </row>
    <row r="305" spans="1:5" ht="15.75" customHeight="1">
      <c r="A305" s="8"/>
      <c r="B305" s="9"/>
      <c r="C305" s="9"/>
      <c r="D305" s="9"/>
      <c r="E305" s="9"/>
    </row>
    <row r="306" spans="1:5" ht="15.75" customHeight="1">
      <c r="A306" s="8"/>
      <c r="B306" s="9"/>
      <c r="C306" s="9"/>
      <c r="D306" s="9"/>
      <c r="E306" s="9"/>
    </row>
    <row r="307" spans="1:5" ht="15.75" customHeight="1">
      <c r="A307" s="8"/>
      <c r="B307" s="9"/>
      <c r="C307" s="9"/>
      <c r="D307" s="9"/>
      <c r="E307" s="9"/>
    </row>
    <row r="308" spans="1:5" ht="15.75" customHeight="1">
      <c r="A308" s="8"/>
      <c r="B308" s="9"/>
      <c r="C308" s="9"/>
      <c r="D308" s="9"/>
      <c r="E308" s="9"/>
    </row>
    <row r="309" spans="1:5" ht="15.75" customHeight="1">
      <c r="A309" s="8"/>
      <c r="B309" s="9"/>
      <c r="C309" s="9"/>
      <c r="D309" s="9"/>
      <c r="E309" s="9"/>
    </row>
    <row r="310" spans="1:5" ht="15.75" customHeight="1">
      <c r="A310" s="8"/>
      <c r="B310" s="9"/>
      <c r="C310" s="9"/>
      <c r="D310" s="9"/>
      <c r="E310" s="9"/>
    </row>
    <row r="311" spans="1:5" ht="15.75" customHeight="1">
      <c r="A311" s="8"/>
      <c r="B311" s="9"/>
      <c r="C311" s="9"/>
      <c r="D311" s="9"/>
      <c r="E311" s="9"/>
    </row>
    <row r="312" spans="1:5" ht="15.75" customHeight="1">
      <c r="A312" s="10"/>
      <c r="B312" s="10"/>
      <c r="C312" s="10"/>
      <c r="D312" s="10"/>
    </row>
    <row r="313" spans="1:5" ht="15.75" customHeight="1">
      <c r="A313" s="10"/>
      <c r="B313" s="10"/>
      <c r="C313" s="10"/>
      <c r="D313" s="10"/>
    </row>
    <row r="314" spans="1:5" ht="15.75" customHeight="1">
      <c r="A314" s="10"/>
      <c r="B314" s="10"/>
      <c r="C314" s="10"/>
      <c r="D314" s="10"/>
    </row>
    <row r="315" spans="1:5" ht="15.75" customHeight="1">
      <c r="A315" s="10"/>
      <c r="B315" s="10"/>
      <c r="C315" s="10"/>
      <c r="D315" s="10"/>
    </row>
    <row r="316" spans="1:5" ht="15.75" customHeight="1">
      <c r="A316" s="10"/>
      <c r="B316" s="10"/>
      <c r="C316" s="10"/>
      <c r="D316" s="10"/>
    </row>
    <row r="317" spans="1:5" ht="15.75" customHeight="1">
      <c r="A317" s="10"/>
      <c r="B317" s="10"/>
      <c r="C317" s="10"/>
      <c r="D317" s="10"/>
    </row>
    <row r="318" spans="1:5" ht="15.75" customHeight="1">
      <c r="A318" s="10"/>
      <c r="B318" s="10"/>
      <c r="C318" s="10"/>
      <c r="D318" s="10"/>
    </row>
    <row r="319" spans="1:5" ht="15.75" customHeight="1">
      <c r="A319" s="10"/>
      <c r="B319" s="10"/>
      <c r="C319" s="10"/>
      <c r="D319" s="10"/>
    </row>
    <row r="320" spans="1:5" ht="15.75" customHeight="1">
      <c r="A320" s="10"/>
      <c r="B320" s="10"/>
      <c r="C320" s="10"/>
      <c r="D320" s="10"/>
    </row>
    <row r="321" spans="1:4" ht="15.75" customHeight="1">
      <c r="A321" s="10"/>
      <c r="B321" s="10"/>
      <c r="C321" s="10"/>
      <c r="D321" s="10"/>
    </row>
    <row r="322" spans="1:4" ht="15.75" customHeight="1">
      <c r="A322" s="10"/>
      <c r="B322" s="10"/>
      <c r="C322" s="10"/>
      <c r="D322" s="10"/>
    </row>
    <row r="323" spans="1:4" ht="15.75" customHeight="1">
      <c r="A323" s="10"/>
      <c r="B323" s="10"/>
      <c r="C323" s="10"/>
      <c r="D323" s="10"/>
    </row>
    <row r="324" spans="1:4" ht="15.75" customHeight="1">
      <c r="A324" s="10"/>
      <c r="B324" s="10"/>
      <c r="C324" s="10"/>
      <c r="D324" s="10"/>
    </row>
    <row r="325" spans="1:4" ht="15.75" customHeight="1">
      <c r="A325" s="10"/>
      <c r="B325" s="10"/>
      <c r="C325" s="10"/>
      <c r="D325" s="10"/>
    </row>
    <row r="326" spans="1:4" ht="15.75" customHeight="1">
      <c r="A326" s="10"/>
      <c r="B326" s="10"/>
      <c r="C326" s="10"/>
      <c r="D326" s="10"/>
    </row>
    <row r="327" spans="1:4" ht="15.75" customHeight="1">
      <c r="A327" s="10"/>
      <c r="B327" s="10"/>
      <c r="C327" s="10"/>
      <c r="D327" s="10"/>
    </row>
    <row r="328" spans="1:4" ht="15.75" customHeight="1">
      <c r="A328" s="10"/>
      <c r="B328" s="10"/>
      <c r="C328" s="10"/>
      <c r="D328" s="10"/>
    </row>
    <row r="329" spans="1:4" ht="15.75" customHeight="1">
      <c r="A329" s="10"/>
      <c r="B329" s="10"/>
      <c r="C329" s="10"/>
      <c r="D329" s="10"/>
    </row>
    <row r="330" spans="1:4" ht="15.75" customHeight="1">
      <c r="A330" s="10"/>
      <c r="B330" s="10"/>
      <c r="C330" s="10"/>
      <c r="D330" s="10"/>
    </row>
    <row r="331" spans="1:4" ht="15.75" customHeight="1">
      <c r="A331" s="10"/>
      <c r="B331" s="10"/>
      <c r="C331" s="10"/>
      <c r="D331" s="10"/>
    </row>
    <row r="332" spans="1:4" ht="15.75" customHeight="1">
      <c r="A332" s="10"/>
      <c r="B332" s="10"/>
      <c r="C332" s="10"/>
      <c r="D332" s="10"/>
    </row>
    <row r="333" spans="1:4" ht="15.75" customHeight="1">
      <c r="A333" s="10"/>
      <c r="B333" s="10"/>
      <c r="C333" s="10"/>
      <c r="D333" s="10"/>
    </row>
    <row r="334" spans="1:4" ht="15.75" customHeight="1">
      <c r="A334" s="10"/>
      <c r="B334" s="10"/>
      <c r="C334" s="10"/>
      <c r="D334" s="10"/>
    </row>
    <row r="335" spans="1:4" ht="15.75" customHeight="1">
      <c r="A335" s="10"/>
      <c r="B335" s="10"/>
      <c r="C335" s="10"/>
      <c r="D335" s="10"/>
    </row>
    <row r="336" spans="1:4" ht="15.75" customHeight="1">
      <c r="A336" s="10"/>
      <c r="B336" s="10"/>
      <c r="C336" s="10"/>
      <c r="D336" s="10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SerenSoul</cp:lastModifiedBy>
  <dcterms:created xsi:type="dcterms:W3CDTF">2026-03-30T09:57:08Z</dcterms:created>
  <dcterms:modified xsi:type="dcterms:W3CDTF">2026-03-31T04:37:20Z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8121E601E2DC478CA24C0996D51B01FE_13</vt:lpwstr>
  </property>
  <property fmtid="{D5CDD505-2E9C-101B-9397-08002B2CF9AE}" pid="3" name="KSOProductBuildVer">
    <vt:lpwstr>1049-12.2.0.23196</vt:lpwstr>
  </property>
</Properties>
</file>